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CHANNELS" sheetId="3" state="visible" r:id="rId5"/>
    <sheet name="CASE_TYPES" sheetId="4" state="visible" r:id="rId6"/>
    <sheet name="CAPACITY_24M" sheetId="5" state="visible" r:id="rId7"/>
    <sheet name="FUNNEL_24M" sheetId="6" state="visible" r:id="rId8"/>
    <sheet name="UNIT_ECONOMICS" sheetId="7" state="visible" r:id="rId9"/>
    <sheet name="PNL_24M" sheetId="8" state="visible" r:id="rId10"/>
    <sheet name="CASHFLOW_24M" sheetId="9" state="visible" r:id="rId11"/>
    <sheet name="SENSITIVIT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C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3</xdr:row>
                <xdr:rowOff>12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C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E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12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E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H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I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J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K4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K5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Supuesto editable por el usuario.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31</xdr:colOff>
                <xdr:row>3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<sst xmlns="http://schemas.openxmlformats.org/spreadsheetml/2006/main" count="415" uniqueCount="275">
  <si>
    <t xml:space="preserve">Modelo de agencia pericial - guía rápida</t>
  </si>
  <si>
    <t xml:space="preserve">Objetivo</t>
  </si>
  <si>
    <t xml:space="preserve">Modelar una agencia de informes periciales con captación, venta, peritación, IA y entrega.</t>
  </si>
  <si>
    <t xml:space="preserve">Cómo usar</t>
  </si>
  <si>
    <t xml:space="preserve">Edita solo las celdas amarillas/azules en ASSUMPTIONS, CHANNELS y CASE_TYPES.</t>
  </si>
  <si>
    <t xml:space="preserve">Qué mirar primero</t>
  </si>
  <si>
    <t xml:space="preserve">1) EBITDA en PNL_24M  2) Caja en CASHFLOW_24M  3) Utilización en CAPACITY_24M  4) Sensibilidad.</t>
  </si>
  <si>
    <t xml:space="preserve">Fundador sin nómina</t>
  </si>
  <si>
    <t xml:space="preserve">Si tú haces una función, deja el FTE &gt; 0 para mantener capacidad y pon salario = 0.</t>
  </si>
  <si>
    <t xml:space="preserve">Lógica</t>
  </si>
  <si>
    <t xml:space="preserve">Las ventas se limitan por capacidad del closer. La entrega se limita por capacidad de peritos. El exceso pasa a backlog.</t>
  </si>
  <si>
    <t xml:space="preserve">Horizonte</t>
  </si>
  <si>
    <t xml:space="preserve">24 meses.</t>
  </si>
  <si>
    <t xml:space="preserve">Supuestos globales</t>
  </si>
  <si>
    <t xml:space="preserve">Categoría</t>
  </si>
  <si>
    <t xml:space="preserve">Variable</t>
  </si>
  <si>
    <t xml:space="preserve">Valor</t>
  </si>
  <si>
    <t xml:space="preserve">Unidad</t>
  </si>
  <si>
    <t xml:space="preserve">Notas</t>
  </si>
  <si>
    <t xml:space="preserve">Ventas</t>
  </si>
  <si>
    <t xml:space="preserve">Eligible lead rate</t>
  </si>
  <si>
    <t xml:space="preserve">%</t>
  </si>
  <si>
    <t xml:space="preserve">Porcentaje de leads realmente aptos / con potencial</t>
  </si>
  <si>
    <t xml:space="preserve">Contact rate</t>
  </si>
  <si>
    <t xml:space="preserve">Porcentaje de leads elegibles a los que se logra contactar</t>
  </si>
  <si>
    <t xml:space="preserve">Call show rate</t>
  </si>
  <si>
    <t xml:space="preserve">Porcentaje de contactados que efectivamente hablan</t>
  </si>
  <si>
    <t xml:space="preserve">Call close rate</t>
  </si>
  <si>
    <t xml:space="preserve">Porcentaje de llamadas que cierran en la llamada</t>
  </si>
  <si>
    <t xml:space="preserve">Bot recovery rate</t>
  </si>
  <si>
    <t xml:space="preserve">Porcentaje de no cerrados en llamada que acaban cerrando por WhatsApp/bot</t>
  </si>
  <si>
    <t xml:space="preserve">Cancellation rate</t>
  </si>
  <si>
    <t xml:space="preserve">Ventas canceladas o caídas antes de ejecutarse</t>
  </si>
  <si>
    <t xml:space="preserve">Cobro</t>
  </si>
  <si>
    <t xml:space="preserve">Current-month collection</t>
  </si>
  <si>
    <t xml:space="preserve">Cobro en el mismo mes de la venta</t>
  </si>
  <si>
    <t xml:space="preserve">Next-month collection</t>
  </si>
  <si>
    <t xml:space="preserve">Cobro diferido al mes siguiente</t>
  </si>
  <si>
    <t xml:space="preserve">Bad debt rate</t>
  </si>
  <si>
    <t xml:space="preserve">Impago / contracargo</t>
  </si>
  <si>
    <t xml:space="preserve">Payment processor fee</t>
  </si>
  <si>
    <t xml:space="preserve">Coste de TPV, Stripe, etc.</t>
  </si>
  <si>
    <t xml:space="preserve">Equipo</t>
  </si>
  <si>
    <t xml:space="preserve">Closer FTE</t>
  </si>
  <si>
    <t xml:space="preserve">FTE</t>
  </si>
  <si>
    <t xml:space="preserve">Si el fundador hace de closer, deja FTE=1 y salario=0</t>
  </si>
  <si>
    <t xml:space="preserve">Closer salary / month</t>
  </si>
  <si>
    <t xml:space="preserve">€ / mes</t>
  </si>
  <si>
    <t xml:space="preserve">Coste fijo del closer</t>
  </si>
  <si>
    <t xml:space="preserve">Commission per sale</t>
  </si>
  <si>
    <t xml:space="preserve">€ / venta</t>
  </si>
  <si>
    <t xml:space="preserve">Comisión por cada venta cerrada</t>
  </si>
  <si>
    <t xml:space="preserve">Closer workdays / month</t>
  </si>
  <si>
    <t xml:space="preserve">días</t>
  </si>
  <si>
    <t xml:space="preserve">Días trabajados al mes</t>
  </si>
  <si>
    <t xml:space="preserve">Closer productive hours / day</t>
  </si>
  <si>
    <t xml:space="preserve">h / día</t>
  </si>
  <si>
    <t xml:space="preserve">Horas útiles de venta al día</t>
  </si>
  <si>
    <t xml:space="preserve">Call duration</t>
  </si>
  <si>
    <t xml:space="preserve">min</t>
  </si>
  <si>
    <t xml:space="preserve">Duración media de llamada útil</t>
  </si>
  <si>
    <t xml:space="preserve">After-call admin</t>
  </si>
  <si>
    <t xml:space="preserve">Notas / CRM / presupuesto</t>
  </si>
  <si>
    <t xml:space="preserve">Follow-up oversight per non-closed call</t>
  </si>
  <si>
    <t xml:space="preserve">Supervisión humana del bot / seguimiento</t>
  </si>
  <si>
    <t xml:space="preserve">Operaciones</t>
  </si>
  <si>
    <t xml:space="preserve">Perito FTE</t>
  </si>
  <si>
    <t xml:space="preserve">Si el fundador hace de perito, deja FTE=1 y salario=0</t>
  </si>
  <si>
    <t xml:space="preserve">Perito salary / month</t>
  </si>
  <si>
    <t xml:space="preserve">Coste fijo del perito</t>
  </si>
  <si>
    <t xml:space="preserve">Renting / month per perito</t>
  </si>
  <si>
    <t xml:space="preserve">Vehículo</t>
  </si>
  <si>
    <t xml:space="preserve">Phone+Laptop / month per perito</t>
  </si>
  <si>
    <t xml:space="preserve">Herramientas del perito</t>
  </si>
  <si>
    <t xml:space="preserve">Perito workdays / month</t>
  </si>
  <si>
    <t xml:space="preserve">Perito productive hours / day</t>
  </si>
  <si>
    <t xml:space="preserve">Horas útiles de peritación / redacción</t>
  </si>
  <si>
    <t xml:space="preserve">Rework rate</t>
  </si>
  <si>
    <t xml:space="preserve">Casos que requieren retrabajo</t>
  </si>
  <si>
    <t xml:space="preserve">Rework hours per affected case</t>
  </si>
  <si>
    <t xml:space="preserve">h</t>
  </si>
  <si>
    <t xml:space="preserve">Tiempo extra por retrabajo</t>
  </si>
  <si>
    <t xml:space="preserve">Cost per km</t>
  </si>
  <si>
    <t xml:space="preserve">€ / km</t>
  </si>
  <si>
    <t xml:space="preserve">Combustible + desgaste + peajes medios</t>
  </si>
  <si>
    <t xml:space="preserve">Dirección</t>
  </si>
  <si>
    <t xml:space="preserve">Founder / GM salary / month</t>
  </si>
  <si>
    <t xml:space="preserve">Cuando quieras imputarte sueldo</t>
  </si>
  <si>
    <t xml:space="preserve">Fijos</t>
  </si>
  <si>
    <t xml:space="preserve">Agency retainer / month</t>
  </si>
  <si>
    <t xml:space="preserve">Agencia externa de ads</t>
  </si>
  <si>
    <t xml:space="preserve">General overhead / month</t>
  </si>
  <si>
    <t xml:space="preserve">Gestoría, dominio, etc.</t>
  </si>
  <si>
    <t xml:space="preserve">Software fixed / month</t>
  </si>
  <si>
    <t xml:space="preserve">CRM, automatización, telefonía</t>
  </si>
  <si>
    <t xml:space="preserve">AI platform fixed / month</t>
  </si>
  <si>
    <t xml:space="preserve">Coste fijo de IA / almacenamiento</t>
  </si>
  <si>
    <t xml:space="preserve">Insurance/legal/admin / month</t>
  </si>
  <si>
    <t xml:space="preserve">Seguro RC, legal y administración</t>
  </si>
  <si>
    <t xml:space="preserve">Inflación</t>
  </si>
  <si>
    <t xml:space="preserve">Annual fixed-cost inflation</t>
  </si>
  <si>
    <t xml:space="preserve">Subida anual aplicada a fijos</t>
  </si>
  <si>
    <t xml:space="preserve">Modelo</t>
  </si>
  <si>
    <t xml:space="preserve">Model months</t>
  </si>
  <si>
    <t xml:space="preserve">meses</t>
  </si>
  <si>
    <t xml:space="preserve">Horizonte del modelo</t>
  </si>
  <si>
    <t xml:space="preserve">Starting cash</t>
  </si>
  <si>
    <t xml:space="preserve">€</t>
  </si>
  <si>
    <t xml:space="preserve">Caja inicial</t>
  </si>
  <si>
    <t xml:space="preserve">Canales de captación</t>
  </si>
  <si>
    <t xml:space="preserve">Canal</t>
  </si>
  <si>
    <t xml:space="preserve">Driver</t>
  </si>
  <si>
    <t xml:space="preserve">Mes 1</t>
  </si>
  <si>
    <t xml:space="preserve">Crec. mensual</t>
  </si>
  <si>
    <t xml:space="preserve">Coste/Parámetro</t>
  </si>
  <si>
    <t xml:space="preserve">Paid Social</t>
  </si>
  <si>
    <t xml:space="preserve">Ad spend</t>
  </si>
  <si>
    <t xml:space="preserve">Parámetro = CPL</t>
  </si>
  <si>
    <t xml:space="preserve">Lawyer referrals</t>
  </si>
  <si>
    <t xml:space="preserve">Leads</t>
  </si>
  <si>
    <t xml:space="preserve">Parámetro = coste por lead / fee equivalente</t>
  </si>
  <si>
    <t xml:space="preserve">Organic / direct</t>
  </si>
  <si>
    <t xml:space="preserve">Parámetro = coste por lead</t>
  </si>
  <si>
    <t xml:space="preserve">Other partnerships</t>
  </si>
  <si>
    <t xml:space="preserve">Nota</t>
  </si>
  <si>
    <t xml:space="preserve">Paid Social usa Mes 1 como inversión en ads y Coste/Parámetro como CPL. El resto usan Mes 1 como leads y Coste/Parámetro como coste por lead.</t>
  </si>
  <si>
    <t xml:space="preserve">Tipologías de caso</t>
  </si>
  <si>
    <t xml:space="preserve">Tipo</t>
  </si>
  <si>
    <t xml:space="preserve">Mix %</t>
  </si>
  <si>
    <t xml:space="preserve">PVP</t>
  </si>
  <si>
    <t xml:space="preserve">Desc. call</t>
  </si>
  <si>
    <t xml:space="preserve">Desc. bot</t>
  </si>
  <si>
    <t xml:space="preserve">On-site h</t>
  </si>
  <si>
    <t xml:space="preserve">Travel h</t>
  </si>
  <si>
    <t xml:space="preserve">Post h</t>
  </si>
  <si>
    <t xml:space="preserve">KM / caso</t>
  </si>
  <si>
    <t xml:space="preserve">IA var €/caso</t>
  </si>
  <si>
    <t xml:space="preserve">Otros var €/caso</t>
  </si>
  <si>
    <t xml:space="preserve">Simple</t>
  </si>
  <si>
    <t xml:space="preserve">Standard</t>
  </si>
  <si>
    <t xml:space="preserve">Complex</t>
  </si>
  <si>
    <t xml:space="preserve">Total mix</t>
  </si>
  <si>
    <t xml:space="preserve">Weighted listed price</t>
  </si>
  <si>
    <t xml:space="preserve">Weighted net price - call</t>
  </si>
  <si>
    <t xml:space="preserve">Weighted net price - bot</t>
  </si>
  <si>
    <t xml:space="preserve">Weighted hours/case before rework</t>
  </si>
  <si>
    <t xml:space="preserve">Weighted km/case</t>
  </si>
  <si>
    <t xml:space="preserve">Weighted AI var/case</t>
  </si>
  <si>
    <t xml:space="preserve">Weighted other var/case</t>
  </si>
  <si>
    <t xml:space="preserve">Capacidad mensual</t>
  </si>
  <si>
    <t xml:space="preserve">Métrica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</si>
  <si>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</si>
  <si>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</si>
  <si>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</si>
  <si>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</si>
  <si>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</si>
  <si>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</si>
  <si>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</si>
  <si>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</si>
  <si>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</si>
  <si>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</si>
  <si>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</si>
  <si>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</si>
  <si>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</si>
  <si>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</si>
  <si>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</si>
  <si>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</si>
  <si>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</si>
  <si>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</si>
  <si>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</si>
  <si>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</si>
  <si>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</si>
  <si>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</si>
  <si>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</si>
  <si>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</si>
  <si>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Closer available hours</t>
  </si>
  <si>
    <t xml:space="preserve">Avg minutes per handled call</t>
  </si>
  <si>
    <t xml:space="preserve">Call capacity (calls held)</t>
  </si>
  <si>
    <t xml:space="preserve">Potential calls held</t>
  </si>
  <si>
    <t xml:space="preserve">Call utilization</t>
  </si>
  <si>
    <t xml:space="preserve">Perito available hours</t>
  </si>
  <si>
    <t xml:space="preserve">Weighted hours per delivered case</t>
  </si>
  <si>
    <t xml:space="preserve">Perito capacity (delivered cases)</t>
  </si>
  <si>
    <t xml:space="preserve">Delivered cases</t>
  </si>
  <si>
    <t xml:space="preserve">Perito utilization</t>
  </si>
  <si>
    <t xml:space="preserve">Embudo mensual</t>
  </si>
  <si>
    <t xml:space="preserve">Paid social ad spend</t>
  </si>
  <si>
    <t xml:space="preserve">Paid social leads</t>
  </si>
  <si>
    <t xml:space="preserve">Lawyer referral leads</t>
  </si>
  <si>
    <t xml:space="preserve">Organic/direct leads</t>
  </si>
  <si>
    <t xml:space="preserve">Other partnership leads</t>
  </si>
  <si>
    <t xml:space="preserve">Total leads</t>
  </si>
  <si>
    <t xml:space="preserve">Eligible leads</t>
  </si>
  <si>
    <t xml:space="preserve">Contacted leads</t>
  </si>
  <si>
    <t xml:space="preserve">Actual calls held</t>
  </si>
  <si>
    <t xml:space="preserve">Lost due to sales capacity</t>
  </si>
  <si>
    <t xml:space="preserve">Closed in call</t>
  </si>
  <si>
    <t xml:space="preserve">Not closed after call</t>
  </si>
  <si>
    <t xml:space="preserve">Closed by bot</t>
  </si>
  <si>
    <t xml:space="preserve">Gross sold cases</t>
  </si>
  <si>
    <t xml:space="preserve">Cancelled cases</t>
  </si>
  <si>
    <t xml:space="preserve">Net sold cases</t>
  </si>
  <si>
    <t xml:space="preserve">Avg net price - call</t>
  </si>
  <si>
    <t xml:space="preserve">Avg net price - bot</t>
  </si>
  <si>
    <t xml:space="preserve">Gross sold revenue</t>
  </si>
  <si>
    <t xml:space="preserve">Cancelled revenue</t>
  </si>
  <si>
    <t xml:space="preserve">Net booked revenue</t>
  </si>
  <si>
    <t xml:space="preserve">Lawyer lead acquisition cost</t>
  </si>
  <si>
    <t xml:space="preserve">Organic lead acquisition cost</t>
  </si>
  <si>
    <t xml:space="preserve">Other partner lead acquisition cost</t>
  </si>
  <si>
    <t xml:space="preserve">Total non-ad lead acquisition cost</t>
  </si>
  <si>
    <t xml:space="preserve">Economía unitaria por tipo de caso</t>
  </si>
  <si>
    <t xml:space="preserve">Neto call</t>
  </si>
  <si>
    <t xml:space="preserve">Neto bot</t>
  </si>
  <si>
    <t xml:space="preserve">Travel cost</t>
  </si>
  <si>
    <t xml:space="preserve">IA var</t>
  </si>
  <si>
    <t xml:space="preserve">Otros var</t>
  </si>
  <si>
    <t xml:space="preserve">Horas base</t>
  </si>
  <si>
    <t xml:space="preserve">Horas c/rework</t>
  </si>
  <si>
    <t xml:space="preserve">Comisión</t>
  </si>
  <si>
    <t xml:space="preserve">Margen contrib. promedio</t>
  </si>
  <si>
    <t xml:space="preserve">Weighted average</t>
  </si>
  <si>
    <t xml:space="preserve">Cuenta de resultados mensual (24 meses)</t>
  </si>
  <si>
    <t xml:space="preserve">Opening backlog cases</t>
  </si>
  <si>
    <t xml:space="preserve">Cases available to deliver</t>
  </si>
  <si>
    <t xml:space="preserve">Perito capacity</t>
  </si>
  <si>
    <t xml:space="preserve">Closing backlog cases</t>
  </si>
  <si>
    <t xml:space="preserve">Recognized revenue</t>
  </si>
  <si>
    <t xml:space="preserve">AI variable cost</t>
  </si>
  <si>
    <t xml:space="preserve">Other variable delivery cost</t>
  </si>
  <si>
    <t xml:space="preserve">Payment processing</t>
  </si>
  <si>
    <t xml:space="preserve">Closer commissions</t>
  </si>
  <si>
    <t xml:space="preserve">Total direct variable cost</t>
  </si>
  <si>
    <t xml:space="preserve">Gross profit</t>
  </si>
  <si>
    <t xml:space="preserve">Paid social spend</t>
  </si>
  <si>
    <t xml:space="preserve">Other partner acquisition cost</t>
  </si>
  <si>
    <t xml:space="preserve">Total acquisition spend</t>
  </si>
  <si>
    <t xml:space="preserve">Closer salary</t>
  </si>
  <si>
    <t xml:space="preserve">Perito salary</t>
  </si>
  <si>
    <t xml:space="preserve">Perito renting</t>
  </si>
  <si>
    <t xml:space="preserve">Perito phone+laptop</t>
  </si>
  <si>
    <t xml:space="preserve">Founder / GM salary</t>
  </si>
  <si>
    <t xml:space="preserve">Agency retainer</t>
  </si>
  <si>
    <t xml:space="preserve">General overhead</t>
  </si>
  <si>
    <t xml:space="preserve">Software fixed</t>
  </si>
  <si>
    <t xml:space="preserve">AI platform fixed</t>
  </si>
  <si>
    <t xml:space="preserve">Insurance/legal/admin</t>
  </si>
  <si>
    <t xml:space="preserve">Total fixed OPEX</t>
  </si>
  <si>
    <t xml:space="preserve">EBITDA</t>
  </si>
  <si>
    <t xml:space="preserve">EBITDA margin</t>
  </si>
  <si>
    <t xml:space="preserve">Revenue / delivered case</t>
  </si>
  <si>
    <t xml:space="preserve">Total 24M revenue</t>
  </si>
  <si>
    <t xml:space="preserve">Total 24M EBITDA</t>
  </si>
  <si>
    <t xml:space="preserve">Avg monthly EBITDA</t>
  </si>
  <si>
    <t xml:space="preserve">Max backlog</t>
  </si>
  <si>
    <t xml:space="preserve">Caja mensual (24 meses)</t>
  </si>
  <si>
    <t xml:space="preserve">Opening cash</t>
  </si>
  <si>
    <t xml:space="preserve">Cash collected current month</t>
  </si>
  <si>
    <t xml:space="preserve">Cash collected prior-month tail</t>
  </si>
  <si>
    <t xml:space="preserve">Total cash receipts after bad debt</t>
  </si>
  <si>
    <t xml:space="preserve">Direct variable cash out</t>
  </si>
  <si>
    <t xml:space="preserve">Acquisition cash out</t>
  </si>
  <si>
    <t xml:space="preserve">Fixed OPEX cash out</t>
  </si>
  <si>
    <t xml:space="preserve">Total operating cash out</t>
  </si>
  <si>
    <t xml:space="preserve">Net operating cash flow</t>
  </si>
  <si>
    <t xml:space="preserve">Closing cash</t>
  </si>
  <si>
    <t xml:space="preserve">Min cash balance</t>
  </si>
  <si>
    <t xml:space="preserve">Months cash negative</t>
  </si>
  <si>
    <t xml:space="preserve">Final cash</t>
  </si>
  <si>
    <t xml:space="preserve">Sensibilidad - EBITDA mes 1</t>
  </si>
  <si>
    <t xml:space="preserve">Tabla 1</t>
  </si>
  <si>
    <t xml:space="preserve">EBITDA del mes 1 según CPL (columnas) y close rate call (filas).</t>
  </si>
  <si>
    <t xml:space="preserve">Close rate</t>
  </si>
  <si>
    <t xml:space="preserve">Lectura</t>
  </si>
  <si>
    <t xml:space="preserve">Si el EBITDA mejora mucho al subir close rate, tu cuello es ventas. Si mejora mucho al bajar CPL, tu cuello es marketing. Si casi no cambia, probablemente estás chocando con capacidad.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</si>
</sst>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"/>
    <numFmt numFmtId="167" formatCode="\€#,##0;[RED]&quot;(€&quot;#,##0\);\-"/>
    <numFmt numFmtId="168" formatCode="#,##0;[RED]\(#,##0\);\-"/>
    <numFmt numFmtId="169" formatCode="0.0&quot; h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0"/>
      <name val="Arial"/>
      <family val="2"/>
    </font>
    <font>
      <sz val="11"/>
      <color rgb="FF000000"/>
      <name val="Cambria"/>
      <family val="0"/>
      <charset val="1"/>
    </font>
    <font>
      <sz val="11"/>
      <name val="Cambria"/>
      <family val="0"/>
      <charset val="1"/>
    </font>
    <font>
      <sz val="11"/>
      <color rgb="FF008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  <c r="B3" s="1" t="s">
        <v>2</v>
      </c>
    </row>
    <row r="4" customFormat="false" ht="15" hidden="false" customHeight="true" outlineLevel="0" collapsed="false">
      <c r="A4" s="3" t="s">
        <v>3</v>
      </c>
      <c r="B4" s="1" t="s">
        <v>4</v>
      </c>
    </row>
    <row r="5" customFormat="false" ht="15" hidden="false" customHeight="true" outlineLevel="0" collapsed="false">
      <c r="A5" s="3" t="s">
        <v>5</v>
      </c>
      <c r="B5" s="1" t="s">
        <v>6</v>
      </c>
    </row>
    <row r="6" customFormat="false" ht="15" hidden="false" customHeight="true" outlineLevel="0" collapsed="false">
      <c r="A6" s="3" t="s">
        <v>7</v>
      </c>
      <c r="B6" s="1" t="s">
        <v>8</v>
      </c>
    </row>
    <row r="7" customFormat="false" ht="15" hidden="false" customHeight="true" outlineLevel="0" collapsed="false">
      <c r="A7" s="3" t="s">
        <v>9</v>
      </c>
      <c r="B7" s="1" t="s">
        <v>10</v>
      </c>
    </row>
    <row r="8" customFormat="false" ht="15" hidden="false" customHeight="true" outlineLevel="0" collapsed="false">
      <c r="A8" s="3" t="s">
        <v>11</v>
      </c>
      <c r="B8" s="1" t="s">
        <v>12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55"/>
  </cols>
  <sheetData>
    <row r="1" customFormat="false" ht="21.75" hidden="false" customHeight="true" outlineLevel="0" collapsed="false">
      <c r="A1" s="2" t="s">
        <v>13</v>
      </c>
      <c r="B1" s="2"/>
      <c r="C1" s="2"/>
      <c r="D1" s="2"/>
      <c r="E1" s="2"/>
    </row>
    <row r="3" customFormat="false" ht="15" hidden="false" customHeight="tru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</row>
    <row r="4" customFormat="false" ht="15" hidden="false" customHeight="true" outlineLevel="0" collapsed="false">
      <c r="A4" s="1" t="s">
        <v>19</v>
      </c>
      <c r="B4" s="1" t="s">
        <v>20</v>
      </c>
      <c r="C4" s="5" t="n">
        <v>0.7</v>
      </c>
      <c r="D4" s="1" t="s">
        <v>21</v>
      </c>
      <c r="E4" s="6" t="s">
        <v>22</v>
      </c>
    </row>
    <row r="5" customFormat="false" ht="15" hidden="false" customHeight="true" outlineLevel="0" collapsed="false">
      <c r="A5" s="1" t="s">
        <v>19</v>
      </c>
      <c r="B5" s="1" t="s">
        <v>23</v>
      </c>
      <c r="C5" s="5" t="n">
        <v>0.92</v>
      </c>
      <c r="D5" s="1" t="s">
        <v>21</v>
      </c>
      <c r="E5" s="6" t="s">
        <v>24</v>
      </c>
    </row>
    <row r="6" customFormat="false" ht="15" hidden="false" customHeight="true" outlineLevel="0" collapsed="false">
      <c r="A6" s="1" t="s">
        <v>19</v>
      </c>
      <c r="B6" s="1" t="s">
        <v>25</v>
      </c>
      <c r="C6" s="5" t="n">
        <v>0.78</v>
      </c>
      <c r="D6" s="1" t="s">
        <v>21</v>
      </c>
      <c r="E6" s="6" t="s">
        <v>26</v>
      </c>
    </row>
    <row r="7" customFormat="false" ht="15" hidden="false" customHeight="true" outlineLevel="0" collapsed="false">
      <c r="A7" s="1" t="s">
        <v>19</v>
      </c>
      <c r="B7" s="1" t="s">
        <v>27</v>
      </c>
      <c r="C7" s="5" t="n">
        <v>0.42</v>
      </c>
      <c r="D7" s="1" t="s">
        <v>21</v>
      </c>
      <c r="E7" s="6" t="s">
        <v>28</v>
      </c>
    </row>
    <row r="8" customFormat="false" ht="27.75" hidden="false" customHeight="true" outlineLevel="0" collapsed="false">
      <c r="A8" s="1" t="s">
        <v>19</v>
      </c>
      <c r="B8" s="1" t="s">
        <v>29</v>
      </c>
      <c r="C8" s="5" t="n">
        <v>0.22</v>
      </c>
      <c r="D8" s="1" t="s">
        <v>21</v>
      </c>
      <c r="E8" s="6" t="s">
        <v>30</v>
      </c>
    </row>
    <row r="9" customFormat="false" ht="15" hidden="false" customHeight="true" outlineLevel="0" collapsed="false">
      <c r="A9" s="1" t="s">
        <v>19</v>
      </c>
      <c r="B9" s="1" t="s">
        <v>31</v>
      </c>
      <c r="C9" s="5" t="n">
        <v>0.05</v>
      </c>
      <c r="D9" s="1" t="s">
        <v>21</v>
      </c>
      <c r="E9" s="6" t="s">
        <v>32</v>
      </c>
    </row>
    <row r="10" customFormat="false" ht="15" hidden="false" customHeight="true" outlineLevel="0" collapsed="false">
      <c r="A10" s="1" t="s">
        <v>33</v>
      </c>
      <c r="B10" s="1" t="s">
        <v>34</v>
      </c>
      <c r="C10" s="5" t="n">
        <v>0.9</v>
      </c>
      <c r="D10" s="1" t="s">
        <v>21</v>
      </c>
      <c r="E10" s="6" t="s">
        <v>35</v>
      </c>
    </row>
    <row r="11" customFormat="false" ht="15" hidden="false" customHeight="true" outlineLevel="0" collapsed="false">
      <c r="A11" s="1" t="s">
        <v>33</v>
      </c>
      <c r="B11" s="1" t="s">
        <v>36</v>
      </c>
      <c r="C11" s="5" t="n">
        <v>0.1</v>
      </c>
      <c r="D11" s="1" t="s">
        <v>21</v>
      </c>
      <c r="E11" s="6" t="s">
        <v>37</v>
      </c>
    </row>
    <row r="12" customFormat="false" ht="15" hidden="false" customHeight="true" outlineLevel="0" collapsed="false">
      <c r="A12" s="1" t="s">
        <v>33</v>
      </c>
      <c r="B12" s="1" t="s">
        <v>38</v>
      </c>
      <c r="C12" s="5" t="n">
        <v>0.01</v>
      </c>
      <c r="D12" s="1" t="s">
        <v>21</v>
      </c>
      <c r="E12" s="6" t="s">
        <v>39</v>
      </c>
    </row>
    <row r="13" customFormat="false" ht="15" hidden="false" customHeight="true" outlineLevel="0" collapsed="false">
      <c r="A13" s="1" t="s">
        <v>33</v>
      </c>
      <c r="B13" s="1" t="s">
        <v>40</v>
      </c>
      <c r="C13" s="5" t="n">
        <v>0.015</v>
      </c>
      <c r="D13" s="1" t="s">
        <v>21</v>
      </c>
      <c r="E13" s="6" t="s">
        <v>41</v>
      </c>
    </row>
    <row r="14" customFormat="false" ht="15" hidden="false" customHeight="true" outlineLevel="0" collapsed="false">
      <c r="A14" s="1" t="s">
        <v>42</v>
      </c>
      <c r="B14" s="1" t="s">
        <v>43</v>
      </c>
      <c r="C14" s="7" t="n">
        <v>1</v>
      </c>
      <c r="D14" s="1" t="s">
        <v>44</v>
      </c>
      <c r="E14" s="6" t="s">
        <v>45</v>
      </c>
    </row>
    <row r="15" customFormat="false" ht="15" hidden="false" customHeight="true" outlineLevel="0" collapsed="false">
      <c r="A15" s="1" t="s">
        <v>42</v>
      </c>
      <c r="B15" s="1" t="s">
        <v>46</v>
      </c>
      <c r="C15" s="8" t="n">
        <v>0</v>
      </c>
      <c r="D15" s="1" t="s">
        <v>47</v>
      </c>
      <c r="E15" s="6" t="s">
        <v>48</v>
      </c>
    </row>
    <row r="16" customFormat="false" ht="15" hidden="false" customHeight="true" outlineLevel="0" collapsed="false">
      <c r="A16" s="1" t="s">
        <v>42</v>
      </c>
      <c r="B16" s="1" t="s">
        <v>49</v>
      </c>
      <c r="C16" s="8" t="n">
        <v>30</v>
      </c>
      <c r="D16" s="1" t="s">
        <v>50</v>
      </c>
      <c r="E16" s="6" t="s">
        <v>51</v>
      </c>
    </row>
    <row r="17" customFormat="false" ht="15" hidden="false" customHeight="true" outlineLevel="0" collapsed="false">
      <c r="A17" s="1" t="s">
        <v>42</v>
      </c>
      <c r="B17" s="1" t="s">
        <v>52</v>
      </c>
      <c r="C17" s="9" t="n">
        <v>21</v>
      </c>
      <c r="D17" s="1" t="s">
        <v>53</v>
      </c>
      <c r="E17" s="6" t="s">
        <v>54</v>
      </c>
    </row>
    <row r="18" customFormat="false" ht="15" hidden="false" customHeight="true" outlineLevel="0" collapsed="false">
      <c r="A18" s="1" t="s">
        <v>42</v>
      </c>
      <c r="B18" s="1" t="s">
        <v>55</v>
      </c>
      <c r="C18" s="7" t="n">
        <v>6</v>
      </c>
      <c r="D18" s="1" t="s">
        <v>56</v>
      </c>
      <c r="E18" s="6" t="s">
        <v>57</v>
      </c>
    </row>
    <row r="19" customFormat="false" ht="15" hidden="false" customHeight="true" outlineLevel="0" collapsed="false">
      <c r="A19" s="1" t="s">
        <v>42</v>
      </c>
      <c r="B19" s="1" t="s">
        <v>58</v>
      </c>
      <c r="C19" s="9" t="n">
        <v>25</v>
      </c>
      <c r="D19" s="1" t="s">
        <v>59</v>
      </c>
      <c r="E19" s="6" t="s">
        <v>60</v>
      </c>
    </row>
    <row r="20" customFormat="false" ht="15" hidden="false" customHeight="true" outlineLevel="0" collapsed="false">
      <c r="A20" s="1" t="s">
        <v>42</v>
      </c>
      <c r="B20" s="1" t="s">
        <v>61</v>
      </c>
      <c r="C20" s="9" t="n">
        <v>7</v>
      </c>
      <c r="D20" s="1" t="s">
        <v>59</v>
      </c>
      <c r="E20" s="6" t="s">
        <v>62</v>
      </c>
    </row>
    <row r="21" customFormat="false" ht="15" hidden="false" customHeight="true" outlineLevel="0" collapsed="false">
      <c r="A21" s="1" t="s">
        <v>42</v>
      </c>
      <c r="B21" s="1" t="s">
        <v>63</v>
      </c>
      <c r="C21" s="9" t="n">
        <v>2</v>
      </c>
      <c r="D21" s="1" t="s">
        <v>59</v>
      </c>
      <c r="E21" s="6" t="s">
        <v>64</v>
      </c>
    </row>
    <row r="22" customFormat="false" ht="15" hidden="false" customHeight="true" outlineLevel="0" collapsed="false">
      <c r="A22" s="1" t="s">
        <v>65</v>
      </c>
      <c r="B22" s="1" t="s">
        <v>66</v>
      </c>
      <c r="C22" s="7" t="n">
        <v>1</v>
      </c>
      <c r="D22" s="1" t="s">
        <v>44</v>
      </c>
      <c r="E22" s="6" t="s">
        <v>67</v>
      </c>
    </row>
    <row r="23" customFormat="false" ht="15" hidden="false" customHeight="true" outlineLevel="0" collapsed="false">
      <c r="A23" s="1" t="s">
        <v>65</v>
      </c>
      <c r="B23" s="1" t="s">
        <v>68</v>
      </c>
      <c r="C23" s="8" t="n">
        <v>0</v>
      </c>
      <c r="D23" s="1" t="s">
        <v>47</v>
      </c>
      <c r="E23" s="6" t="s">
        <v>69</v>
      </c>
    </row>
    <row r="24" customFormat="false" ht="15" hidden="false" customHeight="true" outlineLevel="0" collapsed="false">
      <c r="A24" s="1" t="s">
        <v>65</v>
      </c>
      <c r="B24" s="1" t="s">
        <v>70</v>
      </c>
      <c r="C24" s="8" t="n">
        <v>450</v>
      </c>
      <c r="D24" s="1" t="s">
        <v>47</v>
      </c>
      <c r="E24" s="6" t="s">
        <v>71</v>
      </c>
    </row>
    <row r="25" customFormat="false" ht="15" hidden="false" customHeight="true" outlineLevel="0" collapsed="false">
      <c r="A25" s="1" t="s">
        <v>65</v>
      </c>
      <c r="B25" s="1" t="s">
        <v>72</v>
      </c>
      <c r="C25" s="8" t="n">
        <v>90</v>
      </c>
      <c r="D25" s="1" t="s">
        <v>47</v>
      </c>
      <c r="E25" s="6" t="s">
        <v>73</v>
      </c>
    </row>
    <row r="26" customFormat="false" ht="15" hidden="false" customHeight="true" outlineLevel="0" collapsed="false">
      <c r="A26" s="1" t="s">
        <v>65</v>
      </c>
      <c r="B26" s="1" t="s">
        <v>74</v>
      </c>
      <c r="C26" s="9" t="n">
        <v>21</v>
      </c>
      <c r="D26" s="1" t="s">
        <v>53</v>
      </c>
      <c r="E26" s="6" t="s">
        <v>54</v>
      </c>
    </row>
    <row r="27" customFormat="false" ht="15" hidden="false" customHeight="true" outlineLevel="0" collapsed="false">
      <c r="A27" s="1" t="s">
        <v>65</v>
      </c>
      <c r="B27" s="1" t="s">
        <v>75</v>
      </c>
      <c r="C27" s="7" t="n">
        <v>6.5</v>
      </c>
      <c r="D27" s="1" t="s">
        <v>56</v>
      </c>
      <c r="E27" s="6" t="s">
        <v>76</v>
      </c>
    </row>
    <row r="28" customFormat="false" ht="15" hidden="false" customHeight="true" outlineLevel="0" collapsed="false">
      <c r="A28" s="1" t="s">
        <v>65</v>
      </c>
      <c r="B28" s="1" t="s">
        <v>77</v>
      </c>
      <c r="C28" s="5" t="n">
        <v>0.08</v>
      </c>
      <c r="D28" s="1" t="s">
        <v>21</v>
      </c>
      <c r="E28" s="6" t="s">
        <v>78</v>
      </c>
    </row>
    <row r="29" customFormat="false" ht="15" hidden="false" customHeight="true" outlineLevel="0" collapsed="false">
      <c r="A29" s="1" t="s">
        <v>65</v>
      </c>
      <c r="B29" s="1" t="s">
        <v>79</v>
      </c>
      <c r="C29" s="7" t="n">
        <v>0.8</v>
      </c>
      <c r="D29" s="1" t="s">
        <v>80</v>
      </c>
      <c r="E29" s="6" t="s">
        <v>81</v>
      </c>
    </row>
    <row r="30" customFormat="false" ht="15" hidden="false" customHeight="true" outlineLevel="0" collapsed="false">
      <c r="A30" s="1" t="s">
        <v>65</v>
      </c>
      <c r="B30" s="1" t="s">
        <v>82</v>
      </c>
      <c r="C30" s="8" t="n">
        <v>0.32</v>
      </c>
      <c r="D30" s="1" t="s">
        <v>83</v>
      </c>
      <c r="E30" s="6" t="s">
        <v>84</v>
      </c>
    </row>
    <row r="31" customFormat="false" ht="15" hidden="false" customHeight="true" outlineLevel="0" collapsed="false">
      <c r="A31" s="1" t="s">
        <v>85</v>
      </c>
      <c r="B31" s="1" t="s">
        <v>86</v>
      </c>
      <c r="C31" s="8" t="n">
        <v>0</v>
      </c>
      <c r="D31" s="1" t="s">
        <v>47</v>
      </c>
      <c r="E31" s="6" t="s">
        <v>87</v>
      </c>
    </row>
    <row r="32" customFormat="false" ht="15" hidden="false" customHeight="true" outlineLevel="0" collapsed="false">
      <c r="A32" s="1" t="s">
        <v>88</v>
      </c>
      <c r="B32" s="1" t="s">
        <v>89</v>
      </c>
      <c r="C32" s="8" t="n">
        <v>1200</v>
      </c>
      <c r="D32" s="1" t="s">
        <v>47</v>
      </c>
      <c r="E32" s="6" t="s">
        <v>90</v>
      </c>
    </row>
    <row r="33" customFormat="false" ht="15" hidden="false" customHeight="true" outlineLevel="0" collapsed="false">
      <c r="A33" s="1" t="s">
        <v>88</v>
      </c>
      <c r="B33" s="1" t="s">
        <v>91</v>
      </c>
      <c r="C33" s="8" t="n">
        <v>350</v>
      </c>
      <c r="D33" s="1" t="s">
        <v>47</v>
      </c>
      <c r="E33" s="6" t="s">
        <v>92</v>
      </c>
    </row>
    <row r="34" customFormat="false" ht="15" hidden="false" customHeight="true" outlineLevel="0" collapsed="false">
      <c r="A34" s="1" t="s">
        <v>88</v>
      </c>
      <c r="B34" s="1" t="s">
        <v>93</v>
      </c>
      <c r="C34" s="8" t="n">
        <v>250</v>
      </c>
      <c r="D34" s="1" t="s">
        <v>47</v>
      </c>
      <c r="E34" s="6" t="s">
        <v>94</v>
      </c>
    </row>
    <row r="35" customFormat="false" ht="15" hidden="false" customHeight="true" outlineLevel="0" collapsed="false">
      <c r="A35" s="1" t="s">
        <v>88</v>
      </c>
      <c r="B35" s="1" t="s">
        <v>95</v>
      </c>
      <c r="C35" s="8" t="n">
        <v>180</v>
      </c>
      <c r="D35" s="1" t="s">
        <v>47</v>
      </c>
      <c r="E35" s="6" t="s">
        <v>96</v>
      </c>
    </row>
    <row r="36" customFormat="false" ht="15" hidden="false" customHeight="true" outlineLevel="0" collapsed="false">
      <c r="A36" s="1" t="s">
        <v>88</v>
      </c>
      <c r="B36" s="1" t="s">
        <v>97</v>
      </c>
      <c r="C36" s="8" t="n">
        <v>200</v>
      </c>
      <c r="D36" s="1" t="s">
        <v>47</v>
      </c>
      <c r="E36" s="6" t="s">
        <v>98</v>
      </c>
    </row>
    <row r="37" customFormat="false" ht="15" hidden="false" customHeight="true" outlineLevel="0" collapsed="false">
      <c r="A37" s="1" t="s">
        <v>99</v>
      </c>
      <c r="B37" s="1" t="s">
        <v>100</v>
      </c>
      <c r="C37" s="5" t="n">
        <v>0.03</v>
      </c>
      <c r="D37" s="1" t="s">
        <v>21</v>
      </c>
      <c r="E37" s="6" t="s">
        <v>101</v>
      </c>
    </row>
    <row r="38" customFormat="false" ht="15" hidden="false" customHeight="true" outlineLevel="0" collapsed="false">
      <c r="A38" s="1" t="s">
        <v>102</v>
      </c>
      <c r="B38" s="1" t="s">
        <v>103</v>
      </c>
      <c r="C38" s="9" t="n">
        <v>24</v>
      </c>
      <c r="D38" s="1" t="s">
        <v>104</v>
      </c>
      <c r="E38" s="6" t="s">
        <v>105</v>
      </c>
    </row>
    <row r="39" customFormat="false" ht="15" hidden="false" customHeight="true" outlineLevel="0" collapsed="false">
      <c r="A39" s="1" t="s">
        <v>102</v>
      </c>
      <c r="B39" s="1" t="s">
        <v>106</v>
      </c>
      <c r="C39" s="8" t="n">
        <v>10000</v>
      </c>
      <c r="D39" s="1" t="s">
        <v>107</v>
      </c>
      <c r="E39" s="6" t="s">
        <v>108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  <col collapsed="false" customWidth="true" hidden="false" outlineLevel="0" max="5" min="5" style="1" width="18"/>
    <col collapsed="false" customWidth="true" hidden="false" outlineLevel="0" max="6" min="6" style="1" width="44"/>
  </cols>
  <sheetData>
    <row r="1" customFormat="false" ht="21.75" hidden="false" customHeight="true" outlineLevel="0" collapsed="false">
      <c r="A1" s="2" t="s">
        <v>109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4" t="s">
        <v>110</v>
      </c>
      <c r="B3" s="4" t="s">
        <v>111</v>
      </c>
      <c r="C3" s="4" t="s">
        <v>112</v>
      </c>
      <c r="D3" s="4" t="s">
        <v>113</v>
      </c>
      <c r="E3" s="4" t="s">
        <v>114</v>
      </c>
      <c r="F3" s="4" t="s">
        <v>18</v>
      </c>
    </row>
    <row r="4" customFormat="false" ht="15" hidden="false" customHeight="true" outlineLevel="0" collapsed="false">
      <c r="A4" s="1" t="s">
        <v>115</v>
      </c>
      <c r="B4" s="1" t="s">
        <v>116</v>
      </c>
      <c r="C4" s="8" t="n">
        <v>6000</v>
      </c>
      <c r="D4" s="5" t="n">
        <v>0</v>
      </c>
      <c r="E4" s="8" t="n">
        <v>16</v>
      </c>
      <c r="F4" s="10" t="s">
        <v>117</v>
      </c>
    </row>
    <row r="5" customFormat="false" ht="15" hidden="false" customHeight="true" outlineLevel="0" collapsed="false">
      <c r="A5" s="1" t="s">
        <v>118</v>
      </c>
      <c r="B5" s="1" t="s">
        <v>119</v>
      </c>
      <c r="C5" s="9" t="n">
        <v>15</v>
      </c>
      <c r="D5" s="5" t="n">
        <v>0.02</v>
      </c>
      <c r="E5" s="8" t="n">
        <v>0</v>
      </c>
      <c r="F5" s="10" t="s">
        <v>120</v>
      </c>
    </row>
    <row r="6" customFormat="false" ht="15" hidden="false" customHeight="true" outlineLevel="0" collapsed="false">
      <c r="A6" s="1" t="s">
        <v>121</v>
      </c>
      <c r="B6" s="1" t="s">
        <v>119</v>
      </c>
      <c r="C6" s="9" t="n">
        <v>20</v>
      </c>
      <c r="D6" s="5" t="n">
        <v>0.01</v>
      </c>
      <c r="E6" s="8" t="n">
        <v>0</v>
      </c>
      <c r="F6" s="10" t="s">
        <v>122</v>
      </c>
    </row>
    <row r="7" customFormat="false" ht="15" hidden="false" customHeight="true" outlineLevel="0" collapsed="false">
      <c r="A7" s="1" t="s">
        <v>123</v>
      </c>
      <c r="B7" s="1" t="s">
        <v>119</v>
      </c>
      <c r="C7" s="9" t="n">
        <v>5</v>
      </c>
      <c r="D7" s="5" t="n">
        <v>0.02</v>
      </c>
      <c r="E7" s="8" t="n">
        <v>0</v>
      </c>
      <c r="F7" s="10" t="s">
        <v>122</v>
      </c>
    </row>
    <row r="9" customFormat="false" ht="149.25" hidden="false" customHeight="true" outlineLevel="0" collapsed="false">
      <c r="A9" s="3" t="s">
        <v>124</v>
      </c>
      <c r="B9" s="6" t="s">
        <v>125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7" min="4" style="1" width="11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16"/>
  </cols>
  <sheetData>
    <row r="1" customFormat="false" ht="21.75" hidden="false" customHeight="true" outlineLevel="0" collapsed="false">
      <c r="A1" s="2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true" outlineLevel="0" collapsed="false">
      <c r="A3" s="4" t="s">
        <v>127</v>
      </c>
      <c r="B3" s="4" t="s">
        <v>128</v>
      </c>
      <c r="C3" s="4" t="s">
        <v>129</v>
      </c>
      <c r="D3" s="4" t="s">
        <v>130</v>
      </c>
      <c r="E3" s="4" t="s">
        <v>131</v>
      </c>
      <c r="F3" s="4" t="s">
        <v>132</v>
      </c>
      <c r="G3" s="4" t="s">
        <v>133</v>
      </c>
      <c r="H3" s="4" t="s">
        <v>134</v>
      </c>
      <c r="I3" s="4" t="s">
        <v>135</v>
      </c>
      <c r="J3" s="4" t="s">
        <v>136</v>
      </c>
      <c r="K3" s="4" t="s">
        <v>137</v>
      </c>
    </row>
    <row r="4" customFormat="false" ht="15" hidden="false" customHeight="true" outlineLevel="0" collapsed="false">
      <c r="A4" s="1" t="s">
        <v>138</v>
      </c>
      <c r="B4" s="5" t="n">
        <v>0.3</v>
      </c>
      <c r="C4" s="8" t="n">
        <v>290</v>
      </c>
      <c r="D4" s="5" t="n">
        <v>0</v>
      </c>
      <c r="E4" s="5" t="n">
        <v>0.08</v>
      </c>
      <c r="F4" s="7" t="n">
        <v>1</v>
      </c>
      <c r="G4" s="7" t="n">
        <v>0.8</v>
      </c>
      <c r="H4" s="7" t="n">
        <v>0.7</v>
      </c>
      <c r="I4" s="9" t="n">
        <v>35</v>
      </c>
      <c r="J4" s="8" t="n">
        <v>6</v>
      </c>
      <c r="K4" s="8" t="n">
        <v>8</v>
      </c>
    </row>
    <row r="5" customFormat="false" ht="15" hidden="false" customHeight="true" outlineLevel="0" collapsed="false">
      <c r="A5" s="1" t="s">
        <v>139</v>
      </c>
      <c r="B5" s="5" t="n">
        <v>0.5</v>
      </c>
      <c r="C5" s="8" t="n">
        <v>390</v>
      </c>
      <c r="D5" s="5" t="n">
        <v>0.03</v>
      </c>
      <c r="E5" s="5" t="n">
        <v>0.1</v>
      </c>
      <c r="F5" s="7" t="n">
        <v>1.3</v>
      </c>
      <c r="G5" s="7" t="n">
        <v>1</v>
      </c>
      <c r="H5" s="7" t="n">
        <v>1</v>
      </c>
      <c r="I5" s="9" t="n">
        <v>50</v>
      </c>
      <c r="J5" s="8" t="n">
        <v>8</v>
      </c>
      <c r="K5" s="8" t="n">
        <v>12</v>
      </c>
    </row>
    <row r="6" customFormat="false" ht="15" hidden="false" customHeight="true" outlineLevel="0" collapsed="false">
      <c r="A6" s="1" t="s">
        <v>140</v>
      </c>
      <c r="B6" s="5" t="n">
        <v>0.2</v>
      </c>
      <c r="C6" s="8" t="n">
        <v>590</v>
      </c>
      <c r="D6" s="5" t="n">
        <v>0.05</v>
      </c>
      <c r="E6" s="5" t="n">
        <v>0.12</v>
      </c>
      <c r="F6" s="7" t="n">
        <v>1.8</v>
      </c>
      <c r="G6" s="7" t="n">
        <v>1.4</v>
      </c>
      <c r="H6" s="7" t="n">
        <v>1.4</v>
      </c>
      <c r="I6" s="9" t="n">
        <v>75</v>
      </c>
      <c r="J6" s="8" t="n">
        <v>12</v>
      </c>
      <c r="K6" s="8" t="n">
        <v>18</v>
      </c>
    </row>
    <row r="8" customFormat="false" ht="15" hidden="false" customHeight="true" outlineLevel="0" collapsed="false">
      <c r="A8" s="3" t="s">
        <v>141</v>
      </c>
      <c r="B8" s="11" t="n">
        <f aca="false">SUM(B4:B6)</f>
        <v>1</v>
      </c>
    </row>
    <row r="10" customFormat="false" ht="15" hidden="false" customHeight="true" outlineLevel="0" collapsed="false">
      <c r="A10" s="3" t="s">
        <v>142</v>
      </c>
      <c r="B10" s="12" t="n">
        <f aca="false">SUMPRODUCT(B4:B6,C4:C6)</f>
        <v>400</v>
      </c>
    </row>
    <row r="11" customFormat="false" ht="15" hidden="false" customHeight="true" outlineLevel="0" collapsed="false">
      <c r="A11" s="3" t="s">
        <v>143</v>
      </c>
      <c r="B11" s="12" t="n">
        <f aca="false">SUMPRODUCT(B4:B6,C4:C6*(1-D4:D6))</f>
        <v>388.25</v>
      </c>
    </row>
    <row r="12" customFormat="false" ht="15" hidden="false" customHeight="true" outlineLevel="0" collapsed="false">
      <c r="A12" s="3" t="s">
        <v>144</v>
      </c>
      <c r="B12" s="12" t="n">
        <f aca="false">SUMPRODUCT(B4:B6,C4:C6*(1-E4:E6))</f>
        <v>359.38</v>
      </c>
    </row>
    <row r="13" customFormat="false" ht="15" hidden="false" customHeight="true" outlineLevel="0" collapsed="false">
      <c r="A13" s="3" t="s">
        <v>145</v>
      </c>
      <c r="B13" s="13" t="n">
        <f aca="false">SUMPRODUCT(B4:B6,F4:F6+G4:G6+H4:H6)</f>
        <v>3.32</v>
      </c>
    </row>
    <row r="14" customFormat="false" ht="15" hidden="false" customHeight="true" outlineLevel="0" collapsed="false">
      <c r="A14" s="3" t="s">
        <v>146</v>
      </c>
      <c r="B14" s="13" t="n">
        <f aca="false">SUMPRODUCT(B4:B6,I4:I6)</f>
        <v>50.5</v>
      </c>
    </row>
    <row r="15" customFormat="false" ht="15" hidden="false" customHeight="true" outlineLevel="0" collapsed="false">
      <c r="A15" s="3" t="s">
        <v>147</v>
      </c>
      <c r="B15" s="12" t="n">
        <f aca="false">SUMPRODUCT(B4:B6,J4:J6)</f>
        <v>8.2</v>
      </c>
    </row>
    <row r="16" customFormat="false" ht="15" hidden="false" customHeight="true" outlineLevel="0" collapsed="false">
      <c r="A16" s="3" t="s">
        <v>148</v>
      </c>
      <c r="B16" s="12" t="n">
        <f aca="false">SUMPRODUCT(B4:B6,K4:K6)</f>
        <v>12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6" min="2" style="1" width="10"/>
  </cols>
  <sheetData>
    <row r="1" customFormat="false" ht="21.75" hidden="false" customHeight="true" outlineLevel="0" collapsed="false">
      <c r="A1" s="2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5" hidden="false" customHeight="true" outlineLevel="0" collapsed="false">
      <c r="A3" s="14" t="s">
        <v>150</v>
      </c>
      <c r="B3" s="15" t="s">
        <v>151</v>
      </c>
      <c r="C3" s="15" t="s">
        <v>152</v>
      </c>
      <c r="D3" s="15" t="s">
        <v>153</v>
      </c>
      <c r="E3" s="15" t="s">
        <v>154</v>
      </c>
      <c r="F3" s="15" t="s">
        <v>155</v>
      </c>
      <c r="G3" s="15" t="s">
        <v>156</v>
      </c>
      <c r="H3" s="15" t="s">
        <v>157</v>
      </c>
      <c r="I3" s="15" t="s">
        <v>158</v>
      </c>
      <c r="J3" s="15" t="s">
        <v>159</v>
      </c>
      <c r="K3" s="15" t="s">
        <v>160</v>
      </c>
      <c r="L3" s="15" t="s">
        <v>161</v>
      </c>
      <c r="M3" s="15" t="s">
        <v>162</v>
      </c>
      <c r="N3" s="15" t="s">
        <v>163</v>
      </c>
      <c r="O3" s="15" t="s">
        <v>164</v>
      </c>
      <c r="P3" s="15" t="s">
        <v>165</v>
      </c>
      <c r="Q3" s="15" t="s">
        <v>166</v>
      </c>
      <c r="R3" s="15" t="s">
        <v>167</v>
      </c>
      <c r="S3" s="15" t="s">
        <v>168</v>
      </c>
      <c r="T3" s="15" t="s">
        <v>169</v>
      </c>
      <c r="U3" s="15" t="s">
        <v>170</v>
      </c>
      <c r="V3" s="15" t="s">
        <v>171</v>
      </c>
      <c r="W3" s="15" t="s">
        <v>172</v>
      </c>
      <c r="X3" s="15" t="s">
        <v>173</v>
      </c>
      <c r="Y3" s="15" t="s">
        <v>174</v>
      </c>
    </row>
    <row r="4" customFormat="false" ht="15" hidden="false" customHeight="true" outlineLevel="0" collapsed="false">
      <c r="A4" s="16" t="s">
        <v>175</v>
      </c>
      <c r="B4" s="17" t="n">
        <f aca="false">ASSUMPTIONS!$C$14*ASSUMPTIONS!$C$17*ASSUMPTIONS!$C$18</f>
        <v>126</v>
      </c>
      <c r="C4" s="17" t="n">
        <f aca="false">ASSUMPTIONS!$C$14*ASSUMPTIONS!$C$17*ASSUMPTIONS!$C$18</f>
        <v>126</v>
      </c>
      <c r="D4" s="17" t="n">
        <f aca="false">ASSUMPTIONS!$C$14*ASSUMPTIONS!$C$17*ASSUMPTIONS!$C$18</f>
        <v>126</v>
      </c>
      <c r="E4" s="17" t="n">
        <f aca="false">ASSUMPTIONS!$C$14*ASSUMPTIONS!$C$17*ASSUMPTIONS!$C$18</f>
        <v>126</v>
      </c>
      <c r="F4" s="17" t="n">
        <f aca="false">ASSUMPTIONS!$C$14*ASSUMPTIONS!$C$17*ASSUMPTIONS!$C$18</f>
        <v>126</v>
      </c>
      <c r="G4" s="17" t="n">
        <f aca="false">ASSUMPTIONS!$C$14*ASSUMPTIONS!$C$17*ASSUMPTIONS!$C$18</f>
        <v>126</v>
      </c>
      <c r="H4" s="17" t="n">
        <f aca="false">ASSUMPTIONS!$C$14*ASSUMPTIONS!$C$17*ASSUMPTIONS!$C$18</f>
        <v>126</v>
      </c>
      <c r="I4" s="17" t="n">
        <f aca="false">ASSUMPTIONS!$C$14*ASSUMPTIONS!$C$17*ASSUMPTIONS!$C$18</f>
        <v>126</v>
      </c>
      <c r="J4" s="17" t="n">
        <f aca="false">ASSUMPTIONS!$C$14*ASSUMPTIONS!$C$17*ASSUMPTIONS!$C$18</f>
        <v>126</v>
      </c>
      <c r="K4" s="17" t="n">
        <f aca="false">ASSUMPTIONS!$C$14*ASSUMPTIONS!$C$17*ASSUMPTIONS!$C$18</f>
        <v>126</v>
      </c>
      <c r="L4" s="17" t="n">
        <f aca="false">ASSUMPTIONS!$C$14*ASSUMPTIONS!$C$17*ASSUMPTIONS!$C$18</f>
        <v>126</v>
      </c>
      <c r="M4" s="17" t="n">
        <f aca="false">ASSUMPTIONS!$C$14*ASSUMPTIONS!$C$17*ASSUMPTIONS!$C$18</f>
        <v>126</v>
      </c>
      <c r="N4" s="17" t="n">
        <f aca="false">ASSUMPTIONS!$C$14*ASSUMPTIONS!$C$17*ASSUMPTIONS!$C$18</f>
        <v>126</v>
      </c>
      <c r="O4" s="17" t="n">
        <f aca="false">ASSUMPTIONS!$C$14*ASSUMPTIONS!$C$17*ASSUMPTIONS!$C$18</f>
        <v>126</v>
      </c>
      <c r="P4" s="17" t="n">
        <f aca="false">ASSUMPTIONS!$C$14*ASSUMPTIONS!$C$17*ASSUMPTIONS!$C$18</f>
        <v>126</v>
      </c>
      <c r="Q4" s="17" t="n">
        <f aca="false">ASSUMPTIONS!$C$14*ASSUMPTIONS!$C$17*ASSUMPTIONS!$C$18</f>
        <v>126</v>
      </c>
      <c r="R4" s="17" t="n">
        <f aca="false">ASSUMPTIONS!$C$14*ASSUMPTIONS!$C$17*ASSUMPTIONS!$C$18</f>
        <v>126</v>
      </c>
      <c r="S4" s="17" t="n">
        <f aca="false">ASSUMPTIONS!$C$14*ASSUMPTIONS!$C$17*ASSUMPTIONS!$C$18</f>
        <v>126</v>
      </c>
      <c r="T4" s="17" t="n">
        <f aca="false">ASSUMPTIONS!$C$14*ASSUMPTIONS!$C$17*ASSUMPTIONS!$C$18</f>
        <v>126</v>
      </c>
      <c r="U4" s="17" t="n">
        <f aca="false">ASSUMPTIONS!$C$14*ASSUMPTIONS!$C$17*ASSUMPTIONS!$C$18</f>
        <v>126</v>
      </c>
      <c r="V4" s="17" t="n">
        <f aca="false">ASSUMPTIONS!$C$14*ASSUMPTIONS!$C$17*ASSUMPTIONS!$C$18</f>
        <v>126</v>
      </c>
      <c r="W4" s="17" t="n">
        <f aca="false">ASSUMPTIONS!$C$14*ASSUMPTIONS!$C$17*ASSUMPTIONS!$C$18</f>
        <v>126</v>
      </c>
      <c r="X4" s="17" t="n">
        <f aca="false">ASSUMPTIONS!$C$14*ASSUMPTIONS!$C$17*ASSUMPTIONS!$C$18</f>
        <v>126</v>
      </c>
      <c r="Y4" s="17" t="n">
        <f aca="false">ASSUMPTIONS!$C$14*ASSUMPTIONS!$C$17*ASSUMPTIONS!$C$18</f>
        <v>126</v>
      </c>
    </row>
    <row r="5" customFormat="false" ht="15" hidden="false" customHeight="true" outlineLevel="0" collapsed="false">
      <c r="A5" s="16" t="s">
        <v>176</v>
      </c>
      <c r="B5" s="13" t="n">
        <f aca="false">ASSUMPTIONS!$C$19+ASSUMPTIONS!$C$20+ASSUMPTIONS!$C$21*(1-ASSUMPTIONS!$C$7)</f>
        <v>33.16</v>
      </c>
      <c r="C5" s="13" t="n">
        <f aca="false">ASSUMPTIONS!$C$19+ASSUMPTIONS!$C$20+ASSUMPTIONS!$C$21*(1-ASSUMPTIONS!$C$7)</f>
        <v>33.16</v>
      </c>
      <c r="D5" s="13" t="n">
        <f aca="false">ASSUMPTIONS!$C$19+ASSUMPTIONS!$C$20+ASSUMPTIONS!$C$21*(1-ASSUMPTIONS!$C$7)</f>
        <v>33.16</v>
      </c>
      <c r="E5" s="13" t="n">
        <f aca="false">ASSUMPTIONS!$C$19+ASSUMPTIONS!$C$20+ASSUMPTIONS!$C$21*(1-ASSUMPTIONS!$C$7)</f>
        <v>33.16</v>
      </c>
      <c r="F5" s="13" t="n">
        <f aca="false">ASSUMPTIONS!$C$19+ASSUMPTIONS!$C$20+ASSUMPTIONS!$C$21*(1-ASSUMPTIONS!$C$7)</f>
        <v>33.16</v>
      </c>
      <c r="G5" s="13" t="n">
        <f aca="false">ASSUMPTIONS!$C$19+ASSUMPTIONS!$C$20+ASSUMPTIONS!$C$21*(1-ASSUMPTIONS!$C$7)</f>
        <v>33.16</v>
      </c>
      <c r="H5" s="13" t="n">
        <f aca="false">ASSUMPTIONS!$C$19+ASSUMPTIONS!$C$20+ASSUMPTIONS!$C$21*(1-ASSUMPTIONS!$C$7)</f>
        <v>33.16</v>
      </c>
      <c r="I5" s="13" t="n">
        <f aca="false">ASSUMPTIONS!$C$19+ASSUMPTIONS!$C$20+ASSUMPTIONS!$C$21*(1-ASSUMPTIONS!$C$7)</f>
        <v>33.16</v>
      </c>
      <c r="J5" s="13" t="n">
        <f aca="false">ASSUMPTIONS!$C$19+ASSUMPTIONS!$C$20+ASSUMPTIONS!$C$21*(1-ASSUMPTIONS!$C$7)</f>
        <v>33.16</v>
      </c>
      <c r="K5" s="13" t="n">
        <f aca="false">ASSUMPTIONS!$C$19+ASSUMPTIONS!$C$20+ASSUMPTIONS!$C$21*(1-ASSUMPTIONS!$C$7)</f>
        <v>33.16</v>
      </c>
      <c r="L5" s="13" t="n">
        <f aca="false">ASSUMPTIONS!$C$19+ASSUMPTIONS!$C$20+ASSUMPTIONS!$C$21*(1-ASSUMPTIONS!$C$7)</f>
        <v>33.16</v>
      </c>
      <c r="M5" s="13" t="n">
        <f aca="false">ASSUMPTIONS!$C$19+ASSUMPTIONS!$C$20+ASSUMPTIONS!$C$21*(1-ASSUMPTIONS!$C$7)</f>
        <v>33.16</v>
      </c>
      <c r="N5" s="13" t="n">
        <f aca="false">ASSUMPTIONS!$C$19+ASSUMPTIONS!$C$20+ASSUMPTIONS!$C$21*(1-ASSUMPTIONS!$C$7)</f>
        <v>33.16</v>
      </c>
      <c r="O5" s="13" t="n">
        <f aca="false">ASSUMPTIONS!$C$19+ASSUMPTIONS!$C$20+ASSUMPTIONS!$C$21*(1-ASSUMPTIONS!$C$7)</f>
        <v>33.16</v>
      </c>
      <c r="P5" s="13" t="n">
        <f aca="false">ASSUMPTIONS!$C$19+ASSUMPTIONS!$C$20+ASSUMPTIONS!$C$21*(1-ASSUMPTIONS!$C$7)</f>
        <v>33.16</v>
      </c>
      <c r="Q5" s="13" t="n">
        <f aca="false">ASSUMPTIONS!$C$19+ASSUMPTIONS!$C$20+ASSUMPTIONS!$C$21*(1-ASSUMPTIONS!$C$7)</f>
        <v>33.16</v>
      </c>
      <c r="R5" s="13" t="n">
        <f aca="false">ASSUMPTIONS!$C$19+ASSUMPTIONS!$C$20+ASSUMPTIONS!$C$21*(1-ASSUMPTIONS!$C$7)</f>
        <v>33.16</v>
      </c>
      <c r="S5" s="13" t="n">
        <f aca="false">ASSUMPTIONS!$C$19+ASSUMPTIONS!$C$20+ASSUMPTIONS!$C$21*(1-ASSUMPTIONS!$C$7)</f>
        <v>33.16</v>
      </c>
      <c r="T5" s="13" t="n">
        <f aca="false">ASSUMPTIONS!$C$19+ASSUMPTIONS!$C$20+ASSUMPTIONS!$C$21*(1-ASSUMPTIONS!$C$7)</f>
        <v>33.16</v>
      </c>
      <c r="U5" s="13" t="n">
        <f aca="false">ASSUMPTIONS!$C$19+ASSUMPTIONS!$C$20+ASSUMPTIONS!$C$21*(1-ASSUMPTIONS!$C$7)</f>
        <v>33.16</v>
      </c>
      <c r="V5" s="13" t="n">
        <f aca="false">ASSUMPTIONS!$C$19+ASSUMPTIONS!$C$20+ASSUMPTIONS!$C$21*(1-ASSUMPTIONS!$C$7)</f>
        <v>33.16</v>
      </c>
      <c r="W5" s="13" t="n">
        <f aca="false">ASSUMPTIONS!$C$19+ASSUMPTIONS!$C$20+ASSUMPTIONS!$C$21*(1-ASSUMPTIONS!$C$7)</f>
        <v>33.16</v>
      </c>
      <c r="X5" s="13" t="n">
        <f aca="false">ASSUMPTIONS!$C$19+ASSUMPTIONS!$C$20+ASSUMPTIONS!$C$21*(1-ASSUMPTIONS!$C$7)</f>
        <v>33.16</v>
      </c>
      <c r="Y5" s="13" t="n">
        <f aca="false">ASSUMPTIONS!$C$19+ASSUMPTIONS!$C$20+ASSUMPTIONS!$C$21*(1-ASSUMPTIONS!$C$7)</f>
        <v>33.16</v>
      </c>
    </row>
    <row r="6" customFormat="false" ht="15" hidden="false" customHeight="true" outlineLevel="0" collapsed="false">
      <c r="A6" s="3" t="s">
        <v>177</v>
      </c>
      <c r="B6" s="13" t="n">
        <f aca="false">IF(B5=0,0,B4*60/B5)</f>
        <v>227.985524728589</v>
      </c>
      <c r="C6" s="13" t="n">
        <f aca="false">IF(C5=0,0,C4*60/C5)</f>
        <v>227.985524728589</v>
      </c>
      <c r="D6" s="13" t="n">
        <f aca="false">IF(D5=0,0,D4*60/D5)</f>
        <v>227.985524728589</v>
      </c>
      <c r="E6" s="13" t="n">
        <f aca="false">IF(E5=0,0,E4*60/E5)</f>
        <v>227.985524728589</v>
      </c>
      <c r="F6" s="13" t="n">
        <f aca="false">IF(F5=0,0,F4*60/F5)</f>
        <v>227.985524728589</v>
      </c>
      <c r="G6" s="13" t="n">
        <f aca="false">IF(G5=0,0,G4*60/G5)</f>
        <v>227.985524728589</v>
      </c>
      <c r="H6" s="13" t="n">
        <f aca="false">IF(H5=0,0,H4*60/H5)</f>
        <v>227.985524728589</v>
      </c>
      <c r="I6" s="13" t="n">
        <f aca="false">IF(I5=0,0,I4*60/I5)</f>
        <v>227.985524728589</v>
      </c>
      <c r="J6" s="13" t="n">
        <f aca="false">IF(J5=0,0,J4*60/J5)</f>
        <v>227.985524728589</v>
      </c>
      <c r="K6" s="13" t="n">
        <f aca="false">IF(K5=0,0,K4*60/K5)</f>
        <v>227.985524728589</v>
      </c>
      <c r="L6" s="13" t="n">
        <f aca="false">IF(L5=0,0,L4*60/L5)</f>
        <v>227.985524728589</v>
      </c>
      <c r="M6" s="13" t="n">
        <f aca="false">IF(M5=0,0,M4*60/M5)</f>
        <v>227.985524728589</v>
      </c>
      <c r="N6" s="13" t="n">
        <f aca="false">IF(N5=0,0,N4*60/N5)</f>
        <v>227.985524728589</v>
      </c>
      <c r="O6" s="13" t="n">
        <f aca="false">IF(O5=0,0,O4*60/O5)</f>
        <v>227.985524728589</v>
      </c>
      <c r="P6" s="13" t="n">
        <f aca="false">IF(P5=0,0,P4*60/P5)</f>
        <v>227.985524728589</v>
      </c>
      <c r="Q6" s="13" t="n">
        <f aca="false">IF(Q5=0,0,Q4*60/Q5)</f>
        <v>227.985524728589</v>
      </c>
      <c r="R6" s="13" t="n">
        <f aca="false">IF(R5=0,0,R4*60/R5)</f>
        <v>227.985524728589</v>
      </c>
      <c r="S6" s="13" t="n">
        <f aca="false">IF(S5=0,0,S4*60/S5)</f>
        <v>227.985524728589</v>
      </c>
      <c r="T6" s="13" t="n">
        <f aca="false">IF(T5=0,0,T4*60/T5)</f>
        <v>227.985524728589</v>
      </c>
      <c r="U6" s="13" t="n">
        <f aca="false">IF(U5=0,0,U4*60/U5)</f>
        <v>227.985524728589</v>
      </c>
      <c r="V6" s="13" t="n">
        <f aca="false">IF(V5=0,0,V4*60/V5)</f>
        <v>227.985524728589</v>
      </c>
      <c r="W6" s="13" t="n">
        <f aca="false">IF(W5=0,0,W4*60/W5)</f>
        <v>227.985524728589</v>
      </c>
      <c r="X6" s="13" t="n">
        <f aca="false">IF(X5=0,0,X4*60/X5)</f>
        <v>227.985524728589</v>
      </c>
      <c r="Y6" s="13" t="n">
        <f aca="false">IF(Y5=0,0,Y4*60/Y5)</f>
        <v>227.985524728589</v>
      </c>
    </row>
    <row r="7" customFormat="false" ht="15" hidden="false" customHeight="true" outlineLevel="0" collapsed="false">
      <c r="A7" s="16" t="s">
        <v>178</v>
      </c>
      <c r="B7" s="18" t="n">
        <f aca="false">FUNNEL_24M!B12</f>
        <v>208.4628</v>
      </c>
      <c r="C7" s="18" t="n">
        <f aca="false">FUNNEL_24M!C12</f>
        <v>208.764192</v>
      </c>
      <c r="D7" s="18" t="n">
        <f aca="false">FUNNEL_24M!D12</f>
        <v>209.0706072</v>
      </c>
      <c r="E7" s="18" t="n">
        <f aca="false">FUNNEL_24M!E12</f>
        <v>209.3821360176</v>
      </c>
      <c r="F7" s="18" t="n">
        <f aca="false">FUNNEL_24M!F12</f>
        <v>209.698870578288</v>
      </c>
      <c r="G7" s="18" t="n">
        <f aca="false">FUNNEL_24M!G12</f>
        <v>210.020904748593</v>
      </c>
      <c r="H7" s="18" t="n">
        <f aca="false">FUNNEL_24M!H12</f>
        <v>210.348334169892</v>
      </c>
      <c r="I7" s="18" t="n">
        <f aca="false">FUNNEL_24M!I12</f>
        <v>210.68125629288</v>
      </c>
      <c r="J7" s="18" t="n">
        <f aca="false">FUNNEL_24M!J12</f>
        <v>211.019770412723</v>
      </c>
      <c r="K7" s="18" t="n">
        <f aca="false">FUNNEL_24M!K12</f>
        <v>211.363977704903</v>
      </c>
      <c r="L7" s="18" t="n">
        <f aca="false">FUNNEL_24M!L12</f>
        <v>211.713981261767</v>
      </c>
      <c r="M7" s="18" t="n">
        <f aca="false">FUNNEL_24M!M12</f>
        <v>212.069886129794</v>
      </c>
      <c r="N7" s="18" t="n">
        <f aca="false">FUNNEL_24M!N12</f>
        <v>212.431799347611</v>
      </c>
      <c r="O7" s="18" t="n">
        <f aca="false">FUNNEL_24M!O12</f>
        <v>212.799829984736</v>
      </c>
      <c r="P7" s="18" t="n">
        <f aca="false">FUNNEL_24M!P12</f>
        <v>213.174089181105</v>
      </c>
      <c r="Q7" s="18" t="n">
        <f aca="false">FUNNEL_24M!Q12</f>
        <v>213.554690187369</v>
      </c>
      <c r="R7" s="18" t="n">
        <f aca="false">FUNNEL_24M!R12</f>
        <v>213.941748405984</v>
      </c>
      <c r="S7" s="18" t="n">
        <f aca="false">FUNNEL_24M!S12</f>
        <v>214.33538143312</v>
      </c>
      <c r="T7" s="18" t="n">
        <f aca="false">FUNNEL_24M!T12</f>
        <v>214.735709101389</v>
      </c>
      <c r="U7" s="18" t="n">
        <f aca="false">FUNNEL_24M!U12</f>
        <v>215.142853523419</v>
      </c>
      <c r="V7" s="18" t="n">
        <f aca="false">FUNNEL_24M!V12</f>
        <v>215.55693913629</v>
      </c>
      <c r="W7" s="18" t="n">
        <f aca="false">FUNNEL_24M!W12</f>
        <v>215.978092746843</v>
      </c>
      <c r="X7" s="18" t="n">
        <f aca="false">FUNNEL_24M!X12</f>
        <v>216.406443577884</v>
      </c>
      <c r="Y7" s="18" t="n">
        <f aca="false">FUNNEL_24M!Y12</f>
        <v>216.842123315308</v>
      </c>
    </row>
    <row r="8" customFormat="false" ht="15" hidden="false" customHeight="true" outlineLevel="0" collapsed="false">
      <c r="A8" s="3" t="s">
        <v>179</v>
      </c>
      <c r="B8" s="11" t="n">
        <f aca="false">IF(B6=0,0,B7/B6)</f>
        <v>0.914368577777778</v>
      </c>
      <c r="C8" s="11" t="n">
        <f aca="false">IF(C6=0,0,C7/C6)</f>
        <v>0.915690556444445</v>
      </c>
      <c r="D8" s="11" t="n">
        <f aca="false">IF(D6=0,0,D7/D6)</f>
        <v>0.917034568088889</v>
      </c>
      <c r="E8" s="11" t="n">
        <f aca="false">IF(E6=0,0,E7/E6)</f>
        <v>0.918401009304711</v>
      </c>
      <c r="F8" s="11" t="n">
        <f aca="false">IF(F6=0,0,F7/F6)</f>
        <v>0.919790284176724</v>
      </c>
      <c r="G8" s="11" t="n">
        <f aca="false">IF(G6=0,0,G7/G6)</f>
        <v>0.921202804426369</v>
      </c>
      <c r="H8" s="11" t="n">
        <f aca="false">IF(H6=0,0,H7/H6)</f>
        <v>0.922638989560001</v>
      </c>
      <c r="I8" s="11" t="n">
        <f aca="false">IF(I6=0,0,I7/I6)</f>
        <v>0.924099267020091</v>
      </c>
      <c r="J8" s="11" t="n">
        <f aca="false">IF(J6=0,0,J7/J6)</f>
        <v>0.925584072339405</v>
      </c>
      <c r="K8" s="11" t="n">
        <f aca="false">IF(K6=0,0,K7/K6)</f>
        <v>0.927093849298227</v>
      </c>
      <c r="L8" s="11" t="n">
        <f aca="false">IF(L6=0,0,L7/L6)</f>
        <v>0.928629050084679</v>
      </c>
      <c r="M8" s="11" t="n">
        <f aca="false">IF(M6=0,0,M7/M6)</f>
        <v>0.930190135458199</v>
      </c>
      <c r="N8" s="11" t="n">
        <f aca="false">IF(N6=0,0,N7/N6)</f>
        <v>0.931777574916241</v>
      </c>
      <c r="O8" s="11" t="n">
        <f aca="false">IF(O6=0,0,O7/O6)</f>
        <v>0.933391846864265</v>
      </c>
      <c r="P8" s="11" t="n">
        <f aca="false">IF(P6=0,0,P7/P6)</f>
        <v>0.935033438789081</v>
      </c>
      <c r="Q8" s="11" t="n">
        <f aca="false">IF(Q6=0,0,Q7/Q6)</f>
        <v>0.936702847435601</v>
      </c>
      <c r="R8" s="11" t="n">
        <f aca="false">IF(R6=0,0,R7/R6)</f>
        <v>0.938400578987093</v>
      </c>
      <c r="S8" s="11" t="n">
        <f aca="false">IF(S6=0,0,S7/S6)</f>
        <v>0.940127149248975</v>
      </c>
      <c r="T8" s="11" t="n">
        <f aca="false">IF(T6=0,0,T7/T6)</f>
        <v>0.94188308383625</v>
      </c>
      <c r="U8" s="11" t="n">
        <f aca="false">IF(U6=0,0,U7/U6)</f>
        <v>0.943668918364627</v>
      </c>
      <c r="V8" s="11" t="n">
        <f aca="false">IF(V6=0,0,V7/V6)</f>
        <v>0.945485198645421</v>
      </c>
      <c r="W8" s="11" t="n">
        <f aca="false">IF(W6=0,0,W7/W6)</f>
        <v>0.947332480884299</v>
      </c>
      <c r="X8" s="11" t="n">
        <f aca="false">IF(X6=0,0,X7/X6)</f>
        <v>0.949211331883948</v>
      </c>
      <c r="Y8" s="11" t="n">
        <f aca="false">IF(Y6=0,0,Y7/Y6)</f>
        <v>0.951122329250743</v>
      </c>
    </row>
    <row r="10" customFormat="false" ht="15" hidden="false" customHeight="true" outlineLevel="0" collapsed="false">
      <c r="A10" s="16" t="s">
        <v>180</v>
      </c>
      <c r="B10" s="17" t="n">
        <f aca="false">ASSUMPTIONS!$C$22*ASSUMPTIONS!$C$26*ASSUMPTIONS!$C$27</f>
        <v>136.5</v>
      </c>
      <c r="C10" s="17" t="n">
        <f aca="false">ASSUMPTIONS!$C$22*ASSUMPTIONS!$C$26*ASSUMPTIONS!$C$27</f>
        <v>136.5</v>
      </c>
      <c r="D10" s="17" t="n">
        <f aca="false">ASSUMPTIONS!$C$22*ASSUMPTIONS!$C$26*ASSUMPTIONS!$C$27</f>
        <v>136.5</v>
      </c>
      <c r="E10" s="17" t="n">
        <f aca="false">ASSUMPTIONS!$C$22*ASSUMPTIONS!$C$26*ASSUMPTIONS!$C$27</f>
        <v>136.5</v>
      </c>
      <c r="F10" s="17" t="n">
        <f aca="false">ASSUMPTIONS!$C$22*ASSUMPTIONS!$C$26*ASSUMPTIONS!$C$27</f>
        <v>136.5</v>
      </c>
      <c r="G10" s="17" t="n">
        <f aca="false">ASSUMPTIONS!$C$22*ASSUMPTIONS!$C$26*ASSUMPTIONS!$C$27</f>
        <v>136.5</v>
      </c>
      <c r="H10" s="17" t="n">
        <f aca="false">ASSUMPTIONS!$C$22*ASSUMPTIONS!$C$26*ASSUMPTIONS!$C$27</f>
        <v>136.5</v>
      </c>
      <c r="I10" s="17" t="n">
        <f aca="false">ASSUMPTIONS!$C$22*ASSUMPTIONS!$C$26*ASSUMPTIONS!$C$27</f>
        <v>136.5</v>
      </c>
      <c r="J10" s="17" t="n">
        <f aca="false">ASSUMPTIONS!$C$22*ASSUMPTIONS!$C$26*ASSUMPTIONS!$C$27</f>
        <v>136.5</v>
      </c>
      <c r="K10" s="17" t="n">
        <f aca="false">ASSUMPTIONS!$C$22*ASSUMPTIONS!$C$26*ASSUMPTIONS!$C$27</f>
        <v>136.5</v>
      </c>
      <c r="L10" s="17" t="n">
        <f aca="false">ASSUMPTIONS!$C$22*ASSUMPTIONS!$C$26*ASSUMPTIONS!$C$27</f>
        <v>136.5</v>
      </c>
      <c r="M10" s="17" t="n">
        <f aca="false">ASSUMPTIONS!$C$22*ASSUMPTIONS!$C$26*ASSUMPTIONS!$C$27</f>
        <v>136.5</v>
      </c>
      <c r="N10" s="17" t="n">
        <f aca="false">ASSUMPTIONS!$C$22*ASSUMPTIONS!$C$26*ASSUMPTIONS!$C$27</f>
        <v>136.5</v>
      </c>
      <c r="O10" s="17" t="n">
        <f aca="false">ASSUMPTIONS!$C$22*ASSUMPTIONS!$C$26*ASSUMPTIONS!$C$27</f>
        <v>136.5</v>
      </c>
      <c r="P10" s="17" t="n">
        <f aca="false">ASSUMPTIONS!$C$22*ASSUMPTIONS!$C$26*ASSUMPTIONS!$C$27</f>
        <v>136.5</v>
      </c>
      <c r="Q10" s="17" t="n">
        <f aca="false">ASSUMPTIONS!$C$22*ASSUMPTIONS!$C$26*ASSUMPTIONS!$C$27</f>
        <v>136.5</v>
      </c>
      <c r="R10" s="17" t="n">
        <f aca="false">ASSUMPTIONS!$C$22*ASSUMPTIONS!$C$26*ASSUMPTIONS!$C$27</f>
        <v>136.5</v>
      </c>
      <c r="S10" s="17" t="n">
        <f aca="false">ASSUMPTIONS!$C$22*ASSUMPTIONS!$C$26*ASSUMPTIONS!$C$27</f>
        <v>136.5</v>
      </c>
      <c r="T10" s="17" t="n">
        <f aca="false">ASSUMPTIONS!$C$22*ASSUMPTIONS!$C$26*ASSUMPTIONS!$C$27</f>
        <v>136.5</v>
      </c>
      <c r="U10" s="17" t="n">
        <f aca="false">ASSUMPTIONS!$C$22*ASSUMPTIONS!$C$26*ASSUMPTIONS!$C$27</f>
        <v>136.5</v>
      </c>
      <c r="V10" s="17" t="n">
        <f aca="false">ASSUMPTIONS!$C$22*ASSUMPTIONS!$C$26*ASSUMPTIONS!$C$27</f>
        <v>136.5</v>
      </c>
      <c r="W10" s="17" t="n">
        <f aca="false">ASSUMPTIONS!$C$22*ASSUMPTIONS!$C$26*ASSUMPTIONS!$C$27</f>
        <v>136.5</v>
      </c>
      <c r="X10" s="17" t="n">
        <f aca="false">ASSUMPTIONS!$C$22*ASSUMPTIONS!$C$26*ASSUMPTIONS!$C$27</f>
        <v>136.5</v>
      </c>
      <c r="Y10" s="17" t="n">
        <f aca="false">ASSUMPTIONS!$C$22*ASSUMPTIONS!$C$26*ASSUMPTIONS!$C$27</f>
        <v>136.5</v>
      </c>
    </row>
    <row r="11" customFormat="false" ht="15" hidden="false" customHeight="true" outlineLevel="0" collapsed="false">
      <c r="A11" s="16" t="s">
        <v>181</v>
      </c>
      <c r="B11" s="18" t="n">
        <f aca="false">CASE_TYPES!$B$13+ASSUMPTIONS!$C$28*ASSUMPTIONS!$C$29</f>
        <v>3.384</v>
      </c>
      <c r="C11" s="18" t="n">
        <f aca="false">CASE_TYPES!$B$13+ASSUMPTIONS!$C$28*ASSUMPTIONS!$C$29</f>
        <v>3.384</v>
      </c>
      <c r="D11" s="18" t="n">
        <f aca="false">CASE_TYPES!$B$13+ASSUMPTIONS!$C$28*ASSUMPTIONS!$C$29</f>
        <v>3.384</v>
      </c>
      <c r="E11" s="18" t="n">
        <f aca="false">CASE_TYPES!$B$13+ASSUMPTIONS!$C$28*ASSUMPTIONS!$C$29</f>
        <v>3.384</v>
      </c>
      <c r="F11" s="18" t="n">
        <f aca="false">CASE_TYPES!$B$13+ASSUMPTIONS!$C$28*ASSUMPTIONS!$C$29</f>
        <v>3.384</v>
      </c>
      <c r="G11" s="18" t="n">
        <f aca="false">CASE_TYPES!$B$13+ASSUMPTIONS!$C$28*ASSUMPTIONS!$C$29</f>
        <v>3.384</v>
      </c>
      <c r="H11" s="18" t="n">
        <f aca="false">CASE_TYPES!$B$13+ASSUMPTIONS!$C$28*ASSUMPTIONS!$C$29</f>
        <v>3.384</v>
      </c>
      <c r="I11" s="18" t="n">
        <f aca="false">CASE_TYPES!$B$13+ASSUMPTIONS!$C$28*ASSUMPTIONS!$C$29</f>
        <v>3.384</v>
      </c>
      <c r="J11" s="18" t="n">
        <f aca="false">CASE_TYPES!$B$13+ASSUMPTIONS!$C$28*ASSUMPTIONS!$C$29</f>
        <v>3.384</v>
      </c>
      <c r="K11" s="18" t="n">
        <f aca="false">CASE_TYPES!$B$13+ASSUMPTIONS!$C$28*ASSUMPTIONS!$C$29</f>
        <v>3.384</v>
      </c>
      <c r="L11" s="18" t="n">
        <f aca="false">CASE_TYPES!$B$13+ASSUMPTIONS!$C$28*ASSUMPTIONS!$C$29</f>
        <v>3.384</v>
      </c>
      <c r="M11" s="18" t="n">
        <f aca="false">CASE_TYPES!$B$13+ASSUMPTIONS!$C$28*ASSUMPTIONS!$C$29</f>
        <v>3.384</v>
      </c>
      <c r="N11" s="18" t="n">
        <f aca="false">CASE_TYPES!$B$13+ASSUMPTIONS!$C$28*ASSUMPTIONS!$C$29</f>
        <v>3.384</v>
      </c>
      <c r="O11" s="18" t="n">
        <f aca="false">CASE_TYPES!$B$13+ASSUMPTIONS!$C$28*ASSUMPTIONS!$C$29</f>
        <v>3.384</v>
      </c>
      <c r="P11" s="18" t="n">
        <f aca="false">CASE_TYPES!$B$13+ASSUMPTIONS!$C$28*ASSUMPTIONS!$C$29</f>
        <v>3.384</v>
      </c>
      <c r="Q11" s="18" t="n">
        <f aca="false">CASE_TYPES!$B$13+ASSUMPTIONS!$C$28*ASSUMPTIONS!$C$29</f>
        <v>3.384</v>
      </c>
      <c r="R11" s="18" t="n">
        <f aca="false">CASE_TYPES!$B$13+ASSUMPTIONS!$C$28*ASSUMPTIONS!$C$29</f>
        <v>3.384</v>
      </c>
      <c r="S11" s="18" t="n">
        <f aca="false">CASE_TYPES!$B$13+ASSUMPTIONS!$C$28*ASSUMPTIONS!$C$29</f>
        <v>3.384</v>
      </c>
      <c r="T11" s="18" t="n">
        <f aca="false">CASE_TYPES!$B$13+ASSUMPTIONS!$C$28*ASSUMPTIONS!$C$29</f>
        <v>3.384</v>
      </c>
      <c r="U11" s="18" t="n">
        <f aca="false">CASE_TYPES!$B$13+ASSUMPTIONS!$C$28*ASSUMPTIONS!$C$29</f>
        <v>3.384</v>
      </c>
      <c r="V11" s="18" t="n">
        <f aca="false">CASE_TYPES!$B$13+ASSUMPTIONS!$C$28*ASSUMPTIONS!$C$29</f>
        <v>3.384</v>
      </c>
      <c r="W11" s="18" t="n">
        <f aca="false">CASE_TYPES!$B$13+ASSUMPTIONS!$C$28*ASSUMPTIONS!$C$29</f>
        <v>3.384</v>
      </c>
      <c r="X11" s="18" t="n">
        <f aca="false">CASE_TYPES!$B$13+ASSUMPTIONS!$C$28*ASSUMPTIONS!$C$29</f>
        <v>3.384</v>
      </c>
      <c r="Y11" s="18" t="n">
        <f aca="false">CASE_TYPES!$B$13+ASSUMPTIONS!$C$28*ASSUMPTIONS!$C$29</f>
        <v>3.384</v>
      </c>
    </row>
    <row r="12" customFormat="false" ht="15" hidden="false" customHeight="true" outlineLevel="0" collapsed="false">
      <c r="A12" s="3" t="s">
        <v>182</v>
      </c>
      <c r="B12" s="13" t="n">
        <f aca="false">IF(B11=0,0,B10/B11)</f>
        <v>40.3368794326241</v>
      </c>
      <c r="C12" s="13" t="n">
        <f aca="false">IF(C11=0,0,C10/C11)</f>
        <v>40.3368794326241</v>
      </c>
      <c r="D12" s="13" t="n">
        <f aca="false">IF(D11=0,0,D10/D11)</f>
        <v>40.3368794326241</v>
      </c>
      <c r="E12" s="13" t="n">
        <f aca="false">IF(E11=0,0,E10/E11)</f>
        <v>40.3368794326241</v>
      </c>
      <c r="F12" s="13" t="n">
        <f aca="false">IF(F11=0,0,F10/F11)</f>
        <v>40.3368794326241</v>
      </c>
      <c r="G12" s="13" t="n">
        <f aca="false">IF(G11=0,0,G10/G11)</f>
        <v>40.3368794326241</v>
      </c>
      <c r="H12" s="13" t="n">
        <f aca="false">IF(H11=0,0,H10/H11)</f>
        <v>40.3368794326241</v>
      </c>
      <c r="I12" s="13" t="n">
        <f aca="false">IF(I11=0,0,I10/I11)</f>
        <v>40.3368794326241</v>
      </c>
      <c r="J12" s="13" t="n">
        <f aca="false">IF(J11=0,0,J10/J11)</f>
        <v>40.3368794326241</v>
      </c>
      <c r="K12" s="13" t="n">
        <f aca="false">IF(K11=0,0,K10/K11)</f>
        <v>40.3368794326241</v>
      </c>
      <c r="L12" s="13" t="n">
        <f aca="false">IF(L11=0,0,L10/L11)</f>
        <v>40.3368794326241</v>
      </c>
      <c r="M12" s="13" t="n">
        <f aca="false">IF(M11=0,0,M10/M11)</f>
        <v>40.3368794326241</v>
      </c>
      <c r="N12" s="13" t="n">
        <f aca="false">IF(N11=0,0,N10/N11)</f>
        <v>40.3368794326241</v>
      </c>
      <c r="O12" s="13" t="n">
        <f aca="false">IF(O11=0,0,O10/O11)</f>
        <v>40.3368794326241</v>
      </c>
      <c r="P12" s="13" t="n">
        <f aca="false">IF(P11=0,0,P10/P11)</f>
        <v>40.3368794326241</v>
      </c>
      <c r="Q12" s="13" t="n">
        <f aca="false">IF(Q11=0,0,Q10/Q11)</f>
        <v>40.3368794326241</v>
      </c>
      <c r="R12" s="13" t="n">
        <f aca="false">IF(R11=0,0,R10/R11)</f>
        <v>40.3368794326241</v>
      </c>
      <c r="S12" s="13" t="n">
        <f aca="false">IF(S11=0,0,S10/S11)</f>
        <v>40.3368794326241</v>
      </c>
      <c r="T12" s="13" t="n">
        <f aca="false">IF(T11=0,0,T10/T11)</f>
        <v>40.3368794326241</v>
      </c>
      <c r="U12" s="13" t="n">
        <f aca="false">IF(U11=0,0,U10/U11)</f>
        <v>40.3368794326241</v>
      </c>
      <c r="V12" s="13" t="n">
        <f aca="false">IF(V11=0,0,V10/V11)</f>
        <v>40.3368794326241</v>
      </c>
      <c r="W12" s="13" t="n">
        <f aca="false">IF(W11=0,0,W10/W11)</f>
        <v>40.3368794326241</v>
      </c>
      <c r="X12" s="13" t="n">
        <f aca="false">IF(X11=0,0,X10/X11)</f>
        <v>40.3368794326241</v>
      </c>
      <c r="Y12" s="13" t="n">
        <f aca="false">IF(Y11=0,0,Y10/Y11)</f>
        <v>40.3368794326241</v>
      </c>
    </row>
    <row r="13" customFormat="false" ht="15" hidden="false" customHeight="true" outlineLevel="0" collapsed="false">
      <c r="A13" s="16" t="s">
        <v>183</v>
      </c>
      <c r="B13" s="18" t="n">
        <f aca="false">PNL_24M!B8</f>
        <v>40.3368794326241</v>
      </c>
      <c r="C13" s="18" t="n">
        <f aca="false">PNL_24M!C8</f>
        <v>40.3368794326241</v>
      </c>
      <c r="D13" s="18" t="n">
        <f aca="false">PNL_24M!D8</f>
        <v>40.3368794326241</v>
      </c>
      <c r="E13" s="18" t="n">
        <f aca="false">PNL_24M!E8</f>
        <v>40.3368794326241</v>
      </c>
      <c r="F13" s="18" t="n">
        <f aca="false">PNL_24M!F8</f>
        <v>40.3368794326241</v>
      </c>
      <c r="G13" s="18" t="n">
        <f aca="false">PNL_24M!G8</f>
        <v>40.3368794326241</v>
      </c>
      <c r="H13" s="18" t="n">
        <f aca="false">PNL_24M!H8</f>
        <v>40.3368794326241</v>
      </c>
      <c r="I13" s="18" t="n">
        <f aca="false">PNL_24M!I8</f>
        <v>40.3368794326241</v>
      </c>
      <c r="J13" s="18" t="n">
        <f aca="false">PNL_24M!J8</f>
        <v>40.3368794326241</v>
      </c>
      <c r="K13" s="18" t="n">
        <f aca="false">PNL_24M!K8</f>
        <v>40.3368794326241</v>
      </c>
      <c r="L13" s="18" t="n">
        <f aca="false">PNL_24M!L8</f>
        <v>40.3368794326241</v>
      </c>
      <c r="M13" s="18" t="n">
        <f aca="false">PNL_24M!M8</f>
        <v>40.3368794326241</v>
      </c>
      <c r="N13" s="18" t="n">
        <f aca="false">PNL_24M!N8</f>
        <v>40.3368794326241</v>
      </c>
      <c r="O13" s="18" t="n">
        <f aca="false">PNL_24M!O8</f>
        <v>40.3368794326241</v>
      </c>
      <c r="P13" s="18" t="n">
        <f aca="false">PNL_24M!P8</f>
        <v>40.3368794326241</v>
      </c>
      <c r="Q13" s="18" t="n">
        <f aca="false">PNL_24M!Q8</f>
        <v>40.3368794326241</v>
      </c>
      <c r="R13" s="18" t="n">
        <f aca="false">PNL_24M!R8</f>
        <v>40.3368794326241</v>
      </c>
      <c r="S13" s="18" t="n">
        <f aca="false">PNL_24M!S8</f>
        <v>40.3368794326241</v>
      </c>
      <c r="T13" s="18" t="n">
        <f aca="false">PNL_24M!T8</f>
        <v>40.3368794326241</v>
      </c>
      <c r="U13" s="18" t="n">
        <f aca="false">PNL_24M!U8</f>
        <v>40.3368794326241</v>
      </c>
      <c r="V13" s="18" t="n">
        <f aca="false">PNL_24M!V8</f>
        <v>40.3368794326241</v>
      </c>
      <c r="W13" s="18" t="n">
        <f aca="false">PNL_24M!W8</f>
        <v>40.3368794326241</v>
      </c>
      <c r="X13" s="18" t="n">
        <f aca="false">PNL_24M!X8</f>
        <v>40.3368794326241</v>
      </c>
      <c r="Y13" s="18" t="n">
        <f aca="false">PNL_24M!Y8</f>
        <v>40.3368794326241</v>
      </c>
    </row>
    <row r="14" customFormat="false" ht="15" hidden="false" customHeight="true" outlineLevel="0" collapsed="false">
      <c r="A14" s="3" t="s">
        <v>184</v>
      </c>
      <c r="B14" s="11" t="n">
        <f aca="false">IF(B12=0,0,B13/B12)</f>
        <v>1</v>
      </c>
      <c r="C14" s="11" t="n">
        <f aca="false">IF(C12=0,0,C13/C12)</f>
        <v>1</v>
      </c>
      <c r="D14" s="11" t="n">
        <f aca="false">IF(D12=0,0,D13/D12)</f>
        <v>1</v>
      </c>
      <c r="E14" s="11" t="n">
        <f aca="false">IF(E12=0,0,E13/E12)</f>
        <v>1</v>
      </c>
      <c r="F14" s="11" t="n">
        <f aca="false">IF(F12=0,0,F13/F12)</f>
        <v>1</v>
      </c>
      <c r="G14" s="11" t="n">
        <f aca="false">IF(G12=0,0,G13/G12)</f>
        <v>1</v>
      </c>
      <c r="H14" s="11" t="n">
        <f aca="false">IF(H12=0,0,H13/H12)</f>
        <v>1</v>
      </c>
      <c r="I14" s="11" t="n">
        <f aca="false">IF(I12=0,0,I13/I12)</f>
        <v>1</v>
      </c>
      <c r="J14" s="11" t="n">
        <f aca="false">IF(J12=0,0,J13/J12)</f>
        <v>1</v>
      </c>
      <c r="K14" s="11" t="n">
        <f aca="false">IF(K12=0,0,K13/K12)</f>
        <v>1</v>
      </c>
      <c r="L14" s="11" t="n">
        <f aca="false">IF(L12=0,0,L13/L12)</f>
        <v>1</v>
      </c>
      <c r="M14" s="11" t="n">
        <f aca="false">IF(M12=0,0,M13/M12)</f>
        <v>1</v>
      </c>
      <c r="N14" s="11" t="n">
        <f aca="false">IF(N12=0,0,N13/N12)</f>
        <v>1</v>
      </c>
      <c r="O14" s="11" t="n">
        <f aca="false">IF(O12=0,0,O13/O12)</f>
        <v>1</v>
      </c>
      <c r="P14" s="11" t="n">
        <f aca="false">IF(P12=0,0,P13/P12)</f>
        <v>1</v>
      </c>
      <c r="Q14" s="11" t="n">
        <f aca="false">IF(Q12=0,0,Q13/Q12)</f>
        <v>1</v>
      </c>
      <c r="R14" s="11" t="n">
        <f aca="false">IF(R12=0,0,R13/R12)</f>
        <v>1</v>
      </c>
      <c r="S14" s="11" t="n">
        <f aca="false">IF(S12=0,0,S13/S12)</f>
        <v>1</v>
      </c>
      <c r="T14" s="11" t="n">
        <f aca="false">IF(T12=0,0,T13/T12)</f>
        <v>1</v>
      </c>
      <c r="U14" s="11" t="n">
        <f aca="false">IF(U12=0,0,U13/U12)</f>
        <v>1</v>
      </c>
      <c r="V14" s="11" t="n">
        <f aca="false">IF(V12=0,0,V13/V12)</f>
        <v>1</v>
      </c>
      <c r="W14" s="11" t="n">
        <f aca="false">IF(W12=0,0,W13/W12)</f>
        <v>1</v>
      </c>
      <c r="X14" s="11" t="n">
        <f aca="false">IF(X12=0,0,X13/X12)</f>
        <v>1</v>
      </c>
      <c r="Y14" s="11" t="n">
        <f aca="false">IF(Y12=0,0,Y13/Y12)</f>
        <v>1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6" min="2" style="1" width="11"/>
  </cols>
  <sheetData>
    <row r="1" customFormat="false" ht="21.75" hidden="false" customHeight="true" outlineLevel="0" collapsed="false">
      <c r="A1" s="2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5" hidden="false" customHeight="true" outlineLevel="0" collapsed="false">
      <c r="A3" s="14" t="s">
        <v>150</v>
      </c>
      <c r="B3" s="15" t="s">
        <v>151</v>
      </c>
      <c r="C3" s="15" t="s">
        <v>152</v>
      </c>
      <c r="D3" s="15" t="s">
        <v>153</v>
      </c>
      <c r="E3" s="15" t="s">
        <v>154</v>
      </c>
      <c r="F3" s="15" t="s">
        <v>155</v>
      </c>
      <c r="G3" s="15" t="s">
        <v>156</v>
      </c>
      <c r="H3" s="15" t="s">
        <v>157</v>
      </c>
      <c r="I3" s="15" t="s">
        <v>158</v>
      </c>
      <c r="J3" s="15" t="s">
        <v>159</v>
      </c>
      <c r="K3" s="15" t="s">
        <v>160</v>
      </c>
      <c r="L3" s="15" t="s">
        <v>161</v>
      </c>
      <c r="M3" s="15" t="s">
        <v>162</v>
      </c>
      <c r="N3" s="15" t="s">
        <v>163</v>
      </c>
      <c r="O3" s="15" t="s">
        <v>164</v>
      </c>
      <c r="P3" s="15" t="s">
        <v>165</v>
      </c>
      <c r="Q3" s="15" t="s">
        <v>166</v>
      </c>
      <c r="R3" s="15" t="s">
        <v>167</v>
      </c>
      <c r="S3" s="15" t="s">
        <v>168</v>
      </c>
      <c r="T3" s="15" t="s">
        <v>169</v>
      </c>
      <c r="U3" s="15" t="s">
        <v>170</v>
      </c>
      <c r="V3" s="15" t="s">
        <v>171</v>
      </c>
      <c r="W3" s="15" t="s">
        <v>172</v>
      </c>
      <c r="X3" s="15" t="s">
        <v>173</v>
      </c>
      <c r="Y3" s="15" t="s">
        <v>174</v>
      </c>
    </row>
    <row r="4" customFormat="false" ht="15" hidden="false" customHeight="true" outlineLevel="0" collapsed="false">
      <c r="A4" s="16" t="s">
        <v>186</v>
      </c>
      <c r="B4" s="12" t="n">
        <f aca="false">CHANNELS!$C$4</f>
        <v>6000</v>
      </c>
      <c r="C4" s="12" t="n">
        <f aca="false">B4*(1+CHANNELS!$D$4)</f>
        <v>6000</v>
      </c>
      <c r="D4" s="12" t="n">
        <f aca="false">C4*(1+CHANNELS!$D$4)</f>
        <v>6000</v>
      </c>
      <c r="E4" s="12" t="n">
        <f aca="false">D4*(1+CHANNELS!$D$4)</f>
        <v>6000</v>
      </c>
      <c r="F4" s="12" t="n">
        <f aca="false">E4*(1+CHANNELS!$D$4)</f>
        <v>6000</v>
      </c>
      <c r="G4" s="12" t="n">
        <f aca="false">F4*(1+CHANNELS!$D$4)</f>
        <v>6000</v>
      </c>
      <c r="H4" s="12" t="n">
        <f aca="false">G4*(1+CHANNELS!$D$4)</f>
        <v>6000</v>
      </c>
      <c r="I4" s="12" t="n">
        <f aca="false">H4*(1+CHANNELS!$D$4)</f>
        <v>6000</v>
      </c>
      <c r="J4" s="12" t="n">
        <f aca="false">I4*(1+CHANNELS!$D$4)</f>
        <v>6000</v>
      </c>
      <c r="K4" s="12" t="n">
        <f aca="false">J4*(1+CHANNELS!$D$4)</f>
        <v>6000</v>
      </c>
      <c r="L4" s="12" t="n">
        <f aca="false">K4*(1+CHANNELS!$D$4)</f>
        <v>6000</v>
      </c>
      <c r="M4" s="12" t="n">
        <f aca="false">L4*(1+CHANNELS!$D$4)</f>
        <v>6000</v>
      </c>
      <c r="N4" s="12" t="n">
        <f aca="false">M4*(1+CHANNELS!$D$4)</f>
        <v>6000</v>
      </c>
      <c r="O4" s="12" t="n">
        <f aca="false">N4*(1+CHANNELS!$D$4)</f>
        <v>6000</v>
      </c>
      <c r="P4" s="12" t="n">
        <f aca="false">O4*(1+CHANNELS!$D$4)</f>
        <v>6000</v>
      </c>
      <c r="Q4" s="12" t="n">
        <f aca="false">P4*(1+CHANNELS!$D$4)</f>
        <v>6000</v>
      </c>
      <c r="R4" s="12" t="n">
        <f aca="false">Q4*(1+CHANNELS!$D$4)</f>
        <v>6000</v>
      </c>
      <c r="S4" s="12" t="n">
        <f aca="false">R4*(1+CHANNELS!$D$4)</f>
        <v>6000</v>
      </c>
      <c r="T4" s="12" t="n">
        <f aca="false">S4*(1+CHANNELS!$D$4)</f>
        <v>6000</v>
      </c>
      <c r="U4" s="12" t="n">
        <f aca="false">T4*(1+CHANNELS!$D$4)</f>
        <v>6000</v>
      </c>
      <c r="V4" s="12" t="n">
        <f aca="false">U4*(1+CHANNELS!$D$4)</f>
        <v>6000</v>
      </c>
      <c r="W4" s="12" t="n">
        <f aca="false">V4*(1+CHANNELS!$D$4)</f>
        <v>6000</v>
      </c>
      <c r="X4" s="12" t="n">
        <f aca="false">W4*(1+CHANNELS!$D$4)</f>
        <v>6000</v>
      </c>
      <c r="Y4" s="12" t="n">
        <f aca="false">X4*(1+CHANNELS!$D$4)</f>
        <v>6000</v>
      </c>
    </row>
    <row r="5" customFormat="false" ht="15" hidden="false" customHeight="true" outlineLevel="0" collapsed="false">
      <c r="A5" s="16" t="s">
        <v>187</v>
      </c>
      <c r="B5" s="13" t="n">
        <f aca="false">IF(CHANNELS!$E$4=0,0,B4/CHANNELS!$E$4)</f>
        <v>375</v>
      </c>
      <c r="C5" s="13" t="n">
        <f aca="false">IF(CHANNELS!$E$4=0,0,C4/CHANNELS!$E$4)</f>
        <v>375</v>
      </c>
      <c r="D5" s="13" t="n">
        <f aca="false">IF(CHANNELS!$E$4=0,0,D4/CHANNELS!$E$4)</f>
        <v>375</v>
      </c>
      <c r="E5" s="13" t="n">
        <f aca="false">IF(CHANNELS!$E$4=0,0,E4/CHANNELS!$E$4)</f>
        <v>375</v>
      </c>
      <c r="F5" s="13" t="n">
        <f aca="false">IF(CHANNELS!$E$4=0,0,F4/CHANNELS!$E$4)</f>
        <v>375</v>
      </c>
      <c r="G5" s="13" t="n">
        <f aca="false">IF(CHANNELS!$E$4=0,0,G4/CHANNELS!$E$4)</f>
        <v>375</v>
      </c>
      <c r="H5" s="13" t="n">
        <f aca="false">IF(CHANNELS!$E$4=0,0,H4/CHANNELS!$E$4)</f>
        <v>375</v>
      </c>
      <c r="I5" s="13" t="n">
        <f aca="false">IF(CHANNELS!$E$4=0,0,I4/CHANNELS!$E$4)</f>
        <v>375</v>
      </c>
      <c r="J5" s="13" t="n">
        <f aca="false">IF(CHANNELS!$E$4=0,0,J4/CHANNELS!$E$4)</f>
        <v>375</v>
      </c>
      <c r="K5" s="13" t="n">
        <f aca="false">IF(CHANNELS!$E$4=0,0,K4/CHANNELS!$E$4)</f>
        <v>375</v>
      </c>
      <c r="L5" s="13" t="n">
        <f aca="false">IF(CHANNELS!$E$4=0,0,L4/CHANNELS!$E$4)</f>
        <v>375</v>
      </c>
      <c r="M5" s="13" t="n">
        <f aca="false">IF(CHANNELS!$E$4=0,0,M4/CHANNELS!$E$4)</f>
        <v>375</v>
      </c>
      <c r="N5" s="13" t="n">
        <f aca="false">IF(CHANNELS!$E$4=0,0,N4/CHANNELS!$E$4)</f>
        <v>375</v>
      </c>
      <c r="O5" s="13" t="n">
        <f aca="false">IF(CHANNELS!$E$4=0,0,O4/CHANNELS!$E$4)</f>
        <v>375</v>
      </c>
      <c r="P5" s="13" t="n">
        <f aca="false">IF(CHANNELS!$E$4=0,0,P4/CHANNELS!$E$4)</f>
        <v>375</v>
      </c>
      <c r="Q5" s="13" t="n">
        <f aca="false">IF(CHANNELS!$E$4=0,0,Q4/CHANNELS!$E$4)</f>
        <v>375</v>
      </c>
      <c r="R5" s="13" t="n">
        <f aca="false">IF(CHANNELS!$E$4=0,0,R4/CHANNELS!$E$4)</f>
        <v>375</v>
      </c>
      <c r="S5" s="13" t="n">
        <f aca="false">IF(CHANNELS!$E$4=0,0,S4/CHANNELS!$E$4)</f>
        <v>375</v>
      </c>
      <c r="T5" s="13" t="n">
        <f aca="false">IF(CHANNELS!$E$4=0,0,T4/CHANNELS!$E$4)</f>
        <v>375</v>
      </c>
      <c r="U5" s="13" t="n">
        <f aca="false">IF(CHANNELS!$E$4=0,0,U4/CHANNELS!$E$4)</f>
        <v>375</v>
      </c>
      <c r="V5" s="13" t="n">
        <f aca="false">IF(CHANNELS!$E$4=0,0,V4/CHANNELS!$E$4)</f>
        <v>375</v>
      </c>
      <c r="W5" s="13" t="n">
        <f aca="false">IF(CHANNELS!$E$4=0,0,W4/CHANNELS!$E$4)</f>
        <v>375</v>
      </c>
      <c r="X5" s="13" t="n">
        <f aca="false">IF(CHANNELS!$E$4=0,0,X4/CHANNELS!$E$4)</f>
        <v>375</v>
      </c>
      <c r="Y5" s="13" t="n">
        <f aca="false">IF(CHANNELS!$E$4=0,0,Y4/CHANNELS!$E$4)</f>
        <v>375</v>
      </c>
    </row>
    <row r="6" customFormat="false" ht="15" hidden="false" customHeight="true" outlineLevel="0" collapsed="false">
      <c r="A6" s="16" t="s">
        <v>188</v>
      </c>
      <c r="B6" s="13" t="n">
        <f aca="false">CHANNELS!$C$5</f>
        <v>15</v>
      </c>
      <c r="C6" s="13" t="n">
        <f aca="false">B6*(1+CHANNELS!$D$5)</f>
        <v>15.3</v>
      </c>
      <c r="D6" s="13" t="n">
        <f aca="false">C6*(1+CHANNELS!$D$5)</f>
        <v>15.606</v>
      </c>
      <c r="E6" s="13" t="n">
        <f aca="false">D6*(1+CHANNELS!$D$5)</f>
        <v>15.91812</v>
      </c>
      <c r="F6" s="13" t="n">
        <f aca="false">E6*(1+CHANNELS!$D$5)</f>
        <v>16.2364824</v>
      </c>
      <c r="G6" s="13" t="n">
        <f aca="false">F6*(1+CHANNELS!$D$5)</f>
        <v>16.561212048</v>
      </c>
      <c r="H6" s="13" t="n">
        <f aca="false">G6*(1+CHANNELS!$D$5)</f>
        <v>16.89243628896</v>
      </c>
      <c r="I6" s="13" t="n">
        <f aca="false">H6*(1+CHANNELS!$D$5)</f>
        <v>17.2302850147392</v>
      </c>
      <c r="J6" s="13" t="n">
        <f aca="false">I6*(1+CHANNELS!$D$5)</f>
        <v>17.574890715034</v>
      </c>
      <c r="K6" s="13" t="n">
        <f aca="false">J6*(1+CHANNELS!$D$5)</f>
        <v>17.9263885293347</v>
      </c>
      <c r="L6" s="13" t="n">
        <f aca="false">K6*(1+CHANNELS!$D$5)</f>
        <v>18.2849162999214</v>
      </c>
      <c r="M6" s="13" t="n">
        <f aca="false">L6*(1+CHANNELS!$D$5)</f>
        <v>18.6506146259198</v>
      </c>
      <c r="N6" s="13" t="n">
        <f aca="false">M6*(1+CHANNELS!$D$5)</f>
        <v>19.0236269184382</v>
      </c>
      <c r="O6" s="13" t="n">
        <f aca="false">N6*(1+CHANNELS!$D$5)</f>
        <v>19.404099456807</v>
      </c>
      <c r="P6" s="13" t="n">
        <f aca="false">O6*(1+CHANNELS!$D$5)</f>
        <v>19.7921814459431</v>
      </c>
      <c r="Q6" s="13" t="n">
        <f aca="false">P6*(1+CHANNELS!$D$5)</f>
        <v>20.188025074862</v>
      </c>
      <c r="R6" s="13" t="n">
        <f aca="false">Q6*(1+CHANNELS!$D$5)</f>
        <v>20.5917855763592</v>
      </c>
      <c r="S6" s="13" t="n">
        <f aca="false">R6*(1+CHANNELS!$D$5)</f>
        <v>21.0036212878864</v>
      </c>
      <c r="T6" s="13" t="n">
        <f aca="false">S6*(1+CHANNELS!$D$5)</f>
        <v>21.4236937136441</v>
      </c>
      <c r="U6" s="13" t="n">
        <f aca="false">T6*(1+CHANNELS!$D$5)</f>
        <v>21.852167587917</v>
      </c>
      <c r="V6" s="13" t="n">
        <f aca="false">U6*(1+CHANNELS!$D$5)</f>
        <v>22.2892109396753</v>
      </c>
      <c r="W6" s="13" t="n">
        <f aca="false">V6*(1+CHANNELS!$D$5)</f>
        <v>22.7349951584688</v>
      </c>
      <c r="X6" s="13" t="n">
        <f aca="false">W6*(1+CHANNELS!$D$5)</f>
        <v>23.1896950616382</v>
      </c>
      <c r="Y6" s="13" t="n">
        <f aca="false">X6*(1+CHANNELS!$D$5)</f>
        <v>23.653488962871</v>
      </c>
    </row>
    <row r="7" customFormat="false" ht="15" hidden="false" customHeight="true" outlineLevel="0" collapsed="false">
      <c r="A7" s="16" t="s">
        <v>189</v>
      </c>
      <c r="B7" s="13" t="n">
        <f aca="false">CHANNELS!$C$6</f>
        <v>20</v>
      </c>
      <c r="C7" s="13" t="n">
        <f aca="false">B7*(1+CHANNELS!$D$6)</f>
        <v>20.2</v>
      </c>
      <c r="D7" s="13" t="n">
        <f aca="false">C7*(1+CHANNELS!$D$6)</f>
        <v>20.402</v>
      </c>
      <c r="E7" s="13" t="n">
        <f aca="false">D7*(1+CHANNELS!$D$6)</f>
        <v>20.60602</v>
      </c>
      <c r="F7" s="13" t="n">
        <f aca="false">E7*(1+CHANNELS!$D$6)</f>
        <v>20.8120802</v>
      </c>
      <c r="G7" s="13" t="n">
        <f aca="false">F7*(1+CHANNELS!$D$6)</f>
        <v>21.020201002</v>
      </c>
      <c r="H7" s="13" t="n">
        <f aca="false">G7*(1+CHANNELS!$D$6)</f>
        <v>21.23040301202</v>
      </c>
      <c r="I7" s="13" t="n">
        <f aca="false">H7*(1+CHANNELS!$D$6)</f>
        <v>21.4427070421402</v>
      </c>
      <c r="J7" s="13" t="n">
        <f aca="false">I7*(1+CHANNELS!$D$6)</f>
        <v>21.6571341125616</v>
      </c>
      <c r="K7" s="13" t="n">
        <f aca="false">J7*(1+CHANNELS!$D$6)</f>
        <v>21.8737054536872</v>
      </c>
      <c r="L7" s="13" t="n">
        <f aca="false">K7*(1+CHANNELS!$D$6)</f>
        <v>22.0924425082241</v>
      </c>
      <c r="M7" s="13" t="n">
        <f aca="false">L7*(1+CHANNELS!$D$6)</f>
        <v>22.3133669333063</v>
      </c>
      <c r="N7" s="13" t="n">
        <f aca="false">M7*(1+CHANNELS!$D$6)</f>
        <v>22.5365006026394</v>
      </c>
      <c r="O7" s="13" t="n">
        <f aca="false">N7*(1+CHANNELS!$D$6)</f>
        <v>22.7618656086658</v>
      </c>
      <c r="P7" s="13" t="n">
        <f aca="false">O7*(1+CHANNELS!$D$6)</f>
        <v>22.9894842647525</v>
      </c>
      <c r="Q7" s="13" t="n">
        <f aca="false">P7*(1+CHANNELS!$D$6)</f>
        <v>23.2193791074</v>
      </c>
      <c r="R7" s="13" t="n">
        <f aca="false">Q7*(1+CHANNELS!$D$6)</f>
        <v>23.451572898474</v>
      </c>
      <c r="S7" s="13" t="n">
        <f aca="false">R7*(1+CHANNELS!$D$6)</f>
        <v>23.6860886274587</v>
      </c>
      <c r="T7" s="13" t="n">
        <f aca="false">S7*(1+CHANNELS!$D$6)</f>
        <v>23.9229495137333</v>
      </c>
      <c r="U7" s="13" t="n">
        <f aca="false">T7*(1+CHANNELS!$D$6)</f>
        <v>24.1621790088706</v>
      </c>
      <c r="V7" s="13" t="n">
        <f aca="false">U7*(1+CHANNELS!$D$6)</f>
        <v>24.4038007989593</v>
      </c>
      <c r="W7" s="13" t="n">
        <f aca="false">V7*(1+CHANNELS!$D$6)</f>
        <v>24.6478388069489</v>
      </c>
      <c r="X7" s="13" t="n">
        <f aca="false">W7*(1+CHANNELS!$D$6)</f>
        <v>24.8943171950184</v>
      </c>
      <c r="Y7" s="13" t="n">
        <f aca="false">X7*(1+CHANNELS!$D$6)</f>
        <v>25.1432603669686</v>
      </c>
    </row>
    <row r="8" customFormat="false" ht="15" hidden="false" customHeight="true" outlineLevel="0" collapsed="false">
      <c r="A8" s="16" t="s">
        <v>190</v>
      </c>
      <c r="B8" s="13" t="n">
        <f aca="false">CHANNELS!$C$7</f>
        <v>5</v>
      </c>
      <c r="C8" s="13" t="n">
        <f aca="false">B8*(1+CHANNELS!$D$7)</f>
        <v>5.1</v>
      </c>
      <c r="D8" s="13" t="n">
        <f aca="false">C8*(1+CHANNELS!$D$7)</f>
        <v>5.202</v>
      </c>
      <c r="E8" s="13" t="n">
        <f aca="false">D8*(1+CHANNELS!$D$7)</f>
        <v>5.30604</v>
      </c>
      <c r="F8" s="13" t="n">
        <f aca="false">E8*(1+CHANNELS!$D$7)</f>
        <v>5.4121608</v>
      </c>
      <c r="G8" s="13" t="n">
        <f aca="false">F8*(1+CHANNELS!$D$7)</f>
        <v>5.520404016</v>
      </c>
      <c r="H8" s="13" t="n">
        <f aca="false">G8*(1+CHANNELS!$D$7)</f>
        <v>5.63081209632</v>
      </c>
      <c r="I8" s="13" t="n">
        <f aca="false">H8*(1+CHANNELS!$D$7)</f>
        <v>5.7434283382464</v>
      </c>
      <c r="J8" s="13" t="n">
        <f aca="false">I8*(1+CHANNELS!$D$7)</f>
        <v>5.85829690501133</v>
      </c>
      <c r="K8" s="13" t="n">
        <f aca="false">J8*(1+CHANNELS!$D$7)</f>
        <v>5.97546284311156</v>
      </c>
      <c r="L8" s="13" t="n">
        <f aca="false">K8*(1+CHANNELS!$D$7)</f>
        <v>6.09497209997379</v>
      </c>
      <c r="M8" s="13" t="n">
        <f aca="false">L8*(1+CHANNELS!$D$7)</f>
        <v>6.21687154197326</v>
      </c>
      <c r="N8" s="13" t="n">
        <f aca="false">M8*(1+CHANNELS!$D$7)</f>
        <v>6.34120897281273</v>
      </c>
      <c r="O8" s="13" t="n">
        <f aca="false">N8*(1+CHANNELS!$D$7)</f>
        <v>6.46803315226898</v>
      </c>
      <c r="P8" s="13" t="n">
        <f aca="false">O8*(1+CHANNELS!$D$7)</f>
        <v>6.59739381531436</v>
      </c>
      <c r="Q8" s="13" t="n">
        <f aca="false">P8*(1+CHANNELS!$D$7)</f>
        <v>6.72934169162065</v>
      </c>
      <c r="R8" s="13" t="n">
        <f aca="false">Q8*(1+CHANNELS!$D$7)</f>
        <v>6.86392852545306</v>
      </c>
      <c r="S8" s="13" t="n">
        <f aca="false">R8*(1+CHANNELS!$D$7)</f>
        <v>7.00120709596212</v>
      </c>
      <c r="T8" s="13" t="n">
        <f aca="false">S8*(1+CHANNELS!$D$7)</f>
        <v>7.14123123788137</v>
      </c>
      <c r="U8" s="13" t="n">
        <f aca="false">T8*(1+CHANNELS!$D$7)</f>
        <v>7.28405586263899</v>
      </c>
      <c r="V8" s="13" t="n">
        <f aca="false">U8*(1+CHANNELS!$D$7)</f>
        <v>7.42973697989177</v>
      </c>
      <c r="W8" s="13" t="n">
        <f aca="false">V8*(1+CHANNELS!$D$7)</f>
        <v>7.57833171948961</v>
      </c>
      <c r="X8" s="13" t="n">
        <f aca="false">W8*(1+CHANNELS!$D$7)</f>
        <v>7.7298983538794</v>
      </c>
      <c r="Y8" s="13" t="n">
        <f aca="false">X8*(1+CHANNELS!$D$7)</f>
        <v>7.88449632095699</v>
      </c>
    </row>
    <row r="9" customFormat="false" ht="15" hidden="false" customHeight="true" outlineLevel="0" collapsed="false">
      <c r="A9" s="3" t="s">
        <v>191</v>
      </c>
      <c r="B9" s="13" t="n">
        <f aca="false">SUM(B5:B8)</f>
        <v>415</v>
      </c>
      <c r="C9" s="13" t="n">
        <f aca="false">SUM(C5:C8)</f>
        <v>415.6</v>
      </c>
      <c r="D9" s="13" t="n">
        <f aca="false">SUM(D5:D8)</f>
        <v>416.21</v>
      </c>
      <c r="E9" s="13" t="n">
        <f aca="false">SUM(E5:E8)</f>
        <v>416.83018</v>
      </c>
      <c r="F9" s="13" t="n">
        <f aca="false">SUM(F5:F8)</f>
        <v>417.4607234</v>
      </c>
      <c r="G9" s="13" t="n">
        <f aca="false">SUM(G5:G8)</f>
        <v>418.101817066</v>
      </c>
      <c r="H9" s="13" t="n">
        <f aca="false">SUM(H5:H8)</f>
        <v>418.7536513973</v>
      </c>
      <c r="I9" s="13" t="n">
        <f aca="false">SUM(I5:I8)</f>
        <v>419.416420395126</v>
      </c>
      <c r="J9" s="13" t="n">
        <f aca="false">SUM(J5:J8)</f>
        <v>420.090321732607</v>
      </c>
      <c r="K9" s="13" t="n">
        <f aca="false">SUM(K5:K8)</f>
        <v>420.775556826133</v>
      </c>
      <c r="L9" s="13" t="n">
        <f aca="false">SUM(L5:L8)</f>
        <v>421.472330908119</v>
      </c>
      <c r="M9" s="13" t="n">
        <f aca="false">SUM(M5:M8)</f>
        <v>422.180853101199</v>
      </c>
      <c r="N9" s="13" t="n">
        <f aca="false">SUM(N5:N8)</f>
        <v>422.90133649389</v>
      </c>
      <c r="O9" s="13" t="n">
        <f aca="false">SUM(O5:O8)</f>
        <v>423.633998217742</v>
      </c>
      <c r="P9" s="13" t="n">
        <f aca="false">SUM(P5:P8)</f>
        <v>424.37905952601</v>
      </c>
      <c r="Q9" s="13" t="n">
        <f aca="false">SUM(Q5:Q8)</f>
        <v>425.136745873883</v>
      </c>
      <c r="R9" s="13" t="n">
        <f aca="false">SUM(R5:R8)</f>
        <v>425.907287000286</v>
      </c>
      <c r="S9" s="13" t="n">
        <f aca="false">SUM(S5:S8)</f>
        <v>426.690917011307</v>
      </c>
      <c r="T9" s="13" t="n">
        <f aca="false">SUM(T5:T8)</f>
        <v>427.487874465259</v>
      </c>
      <c r="U9" s="13" t="n">
        <f aca="false">SUM(U5:U8)</f>
        <v>428.298402459427</v>
      </c>
      <c r="V9" s="13" t="n">
        <f aca="false">SUM(V5:V8)</f>
        <v>429.122748718526</v>
      </c>
      <c r="W9" s="13" t="n">
        <f aca="false">SUM(W5:W8)</f>
        <v>429.961165684907</v>
      </c>
      <c r="X9" s="13" t="n">
        <f aca="false">SUM(X5:X8)</f>
        <v>430.813910610536</v>
      </c>
      <c r="Y9" s="13" t="n">
        <f aca="false">SUM(Y5:Y8)</f>
        <v>431.681245650797</v>
      </c>
    </row>
    <row r="10" customFormat="false" ht="15" hidden="false" customHeight="true" outlineLevel="0" collapsed="false">
      <c r="A10" s="16" t="s">
        <v>192</v>
      </c>
      <c r="B10" s="13" t="n">
        <f aca="false">B9*ASSUMPTIONS!$C$4</f>
        <v>290.5</v>
      </c>
      <c r="C10" s="13" t="n">
        <f aca="false">C9*ASSUMPTIONS!$C$4</f>
        <v>290.92</v>
      </c>
      <c r="D10" s="13" t="n">
        <f aca="false">D9*ASSUMPTIONS!$C$4</f>
        <v>291.347</v>
      </c>
      <c r="E10" s="13" t="n">
        <f aca="false">E9*ASSUMPTIONS!$C$4</f>
        <v>291.781126</v>
      </c>
      <c r="F10" s="13" t="n">
        <f aca="false">F9*ASSUMPTIONS!$C$4</f>
        <v>292.22250638</v>
      </c>
      <c r="G10" s="13" t="n">
        <f aca="false">G9*ASSUMPTIONS!$C$4</f>
        <v>292.6712719462</v>
      </c>
      <c r="H10" s="13" t="n">
        <f aca="false">H9*ASSUMPTIONS!$C$4</f>
        <v>293.12755597811</v>
      </c>
      <c r="I10" s="13" t="n">
        <f aca="false">I9*ASSUMPTIONS!$C$4</f>
        <v>293.591494276588</v>
      </c>
      <c r="J10" s="13" t="n">
        <f aca="false">J9*ASSUMPTIONS!$C$4</f>
        <v>294.063225212825</v>
      </c>
      <c r="K10" s="13" t="n">
        <f aca="false">K9*ASSUMPTIONS!$C$4</f>
        <v>294.542889778293</v>
      </c>
      <c r="L10" s="13" t="n">
        <f aca="false">L9*ASSUMPTIONS!$C$4</f>
        <v>295.030631635683</v>
      </c>
      <c r="M10" s="13" t="n">
        <f aca="false">M9*ASSUMPTIONS!$C$4</f>
        <v>295.52659717084</v>
      </c>
      <c r="N10" s="13" t="n">
        <f aca="false">N9*ASSUMPTIONS!$C$4</f>
        <v>296.030935545723</v>
      </c>
      <c r="O10" s="13" t="n">
        <f aca="false">O9*ASSUMPTIONS!$C$4</f>
        <v>296.543798752419</v>
      </c>
      <c r="P10" s="13" t="n">
        <f aca="false">P9*ASSUMPTIONS!$C$4</f>
        <v>297.065341668207</v>
      </c>
      <c r="Q10" s="13" t="n">
        <f aca="false">Q9*ASSUMPTIONS!$C$4</f>
        <v>297.595722111718</v>
      </c>
      <c r="R10" s="13" t="n">
        <f aca="false">R9*ASSUMPTIONS!$C$4</f>
        <v>298.1351009002</v>
      </c>
      <c r="S10" s="13" t="n">
        <f aca="false">S9*ASSUMPTIONS!$C$4</f>
        <v>298.683641907915</v>
      </c>
      <c r="T10" s="13" t="n">
        <f aca="false">T9*ASSUMPTIONS!$C$4</f>
        <v>299.241512125681</v>
      </c>
      <c r="U10" s="13" t="n">
        <f aca="false">U9*ASSUMPTIONS!$C$4</f>
        <v>299.808881721599</v>
      </c>
      <c r="V10" s="13" t="n">
        <f aca="false">V9*ASSUMPTIONS!$C$4</f>
        <v>300.385924102969</v>
      </c>
      <c r="W10" s="13" t="n">
        <f aca="false">W9*ASSUMPTIONS!$C$4</f>
        <v>300.972815979435</v>
      </c>
      <c r="X10" s="13" t="n">
        <f aca="false">X9*ASSUMPTIONS!$C$4</f>
        <v>301.569737427375</v>
      </c>
      <c r="Y10" s="13" t="n">
        <f aca="false">Y9*ASSUMPTIONS!$C$4</f>
        <v>302.176871955558</v>
      </c>
    </row>
    <row r="11" customFormat="false" ht="15" hidden="false" customHeight="true" outlineLevel="0" collapsed="false">
      <c r="A11" s="16" t="s">
        <v>193</v>
      </c>
      <c r="B11" s="13" t="n">
        <f aca="false">B10*ASSUMPTIONS!$C$5</f>
        <v>267.26</v>
      </c>
      <c r="C11" s="13" t="n">
        <f aca="false">C10*ASSUMPTIONS!$C$5</f>
        <v>267.6464</v>
      </c>
      <c r="D11" s="13" t="n">
        <f aca="false">D10*ASSUMPTIONS!$C$5</f>
        <v>268.03924</v>
      </c>
      <c r="E11" s="13" t="n">
        <f aca="false">E10*ASSUMPTIONS!$C$5</f>
        <v>268.43863592</v>
      </c>
      <c r="F11" s="13" t="n">
        <f aca="false">F10*ASSUMPTIONS!$C$5</f>
        <v>268.8447058696</v>
      </c>
      <c r="G11" s="13" t="n">
        <f aca="false">G10*ASSUMPTIONS!$C$5</f>
        <v>269.257570190504</v>
      </c>
      <c r="H11" s="13" t="n">
        <f aca="false">H10*ASSUMPTIONS!$C$5</f>
        <v>269.677351499861</v>
      </c>
      <c r="I11" s="13" t="n">
        <f aca="false">I10*ASSUMPTIONS!$C$5</f>
        <v>270.104174734461</v>
      </c>
      <c r="J11" s="13" t="n">
        <f aca="false">J10*ASSUMPTIONS!$C$5</f>
        <v>270.538167195799</v>
      </c>
      <c r="K11" s="13" t="n">
        <f aca="false">K10*ASSUMPTIONS!$C$5</f>
        <v>270.97945859603</v>
      </c>
      <c r="L11" s="13" t="n">
        <f aca="false">L10*ASSUMPTIONS!$C$5</f>
        <v>271.428181104829</v>
      </c>
      <c r="M11" s="13" t="n">
        <f aca="false">M10*ASSUMPTIONS!$C$5</f>
        <v>271.884469397172</v>
      </c>
      <c r="N11" s="13" t="n">
        <f aca="false">N10*ASSUMPTIONS!$C$5</f>
        <v>272.348460702065</v>
      </c>
      <c r="O11" s="13" t="n">
        <f aca="false">O10*ASSUMPTIONS!$C$5</f>
        <v>272.820294852226</v>
      </c>
      <c r="P11" s="13" t="n">
        <f aca="false">P10*ASSUMPTIONS!$C$5</f>
        <v>273.30011433475</v>
      </c>
      <c r="Q11" s="13" t="n">
        <f aca="false">Q10*ASSUMPTIONS!$C$5</f>
        <v>273.78806434278</v>
      </c>
      <c r="R11" s="13" t="n">
        <f aca="false">R10*ASSUMPTIONS!$C$5</f>
        <v>274.284292828184</v>
      </c>
      <c r="S11" s="13" t="n">
        <f aca="false">S10*ASSUMPTIONS!$C$5</f>
        <v>274.788950555282</v>
      </c>
      <c r="T11" s="13" t="n">
        <f aca="false">T10*ASSUMPTIONS!$C$5</f>
        <v>275.302191155627</v>
      </c>
      <c r="U11" s="13" t="n">
        <f aca="false">U10*ASSUMPTIONS!$C$5</f>
        <v>275.824171183871</v>
      </c>
      <c r="V11" s="13" t="n">
        <f aca="false">V10*ASSUMPTIONS!$C$5</f>
        <v>276.355050174731</v>
      </c>
      <c r="W11" s="13" t="n">
        <f aca="false">W10*ASSUMPTIONS!$C$5</f>
        <v>276.89499070108</v>
      </c>
      <c r="X11" s="13" t="n">
        <f aca="false">X10*ASSUMPTIONS!$C$5</f>
        <v>277.444158433185</v>
      </c>
      <c r="Y11" s="13" t="n">
        <f aca="false">Y10*ASSUMPTIONS!$C$5</f>
        <v>278.002722199113</v>
      </c>
    </row>
    <row r="12" customFormat="false" ht="15" hidden="false" customHeight="true" outlineLevel="0" collapsed="false">
      <c r="A12" s="16" t="s">
        <v>178</v>
      </c>
      <c r="B12" s="13" t="n">
        <f aca="false">B11*ASSUMPTIONS!$C$6</f>
        <v>208.4628</v>
      </c>
      <c r="C12" s="13" t="n">
        <f aca="false">C11*ASSUMPTIONS!$C$6</f>
        <v>208.764192</v>
      </c>
      <c r="D12" s="13" t="n">
        <f aca="false">D11*ASSUMPTIONS!$C$6</f>
        <v>209.0706072</v>
      </c>
      <c r="E12" s="13" t="n">
        <f aca="false">E11*ASSUMPTIONS!$C$6</f>
        <v>209.3821360176</v>
      </c>
      <c r="F12" s="13" t="n">
        <f aca="false">F11*ASSUMPTIONS!$C$6</f>
        <v>209.698870578288</v>
      </c>
      <c r="G12" s="13" t="n">
        <f aca="false">G11*ASSUMPTIONS!$C$6</f>
        <v>210.020904748593</v>
      </c>
      <c r="H12" s="13" t="n">
        <f aca="false">H11*ASSUMPTIONS!$C$6</f>
        <v>210.348334169892</v>
      </c>
      <c r="I12" s="13" t="n">
        <f aca="false">I11*ASSUMPTIONS!$C$6</f>
        <v>210.68125629288</v>
      </c>
      <c r="J12" s="13" t="n">
        <f aca="false">J11*ASSUMPTIONS!$C$6</f>
        <v>211.019770412723</v>
      </c>
      <c r="K12" s="13" t="n">
        <f aca="false">K11*ASSUMPTIONS!$C$6</f>
        <v>211.363977704903</v>
      </c>
      <c r="L12" s="13" t="n">
        <f aca="false">L11*ASSUMPTIONS!$C$6</f>
        <v>211.713981261767</v>
      </c>
      <c r="M12" s="13" t="n">
        <f aca="false">M11*ASSUMPTIONS!$C$6</f>
        <v>212.069886129794</v>
      </c>
      <c r="N12" s="13" t="n">
        <f aca="false">N11*ASSUMPTIONS!$C$6</f>
        <v>212.431799347611</v>
      </c>
      <c r="O12" s="13" t="n">
        <f aca="false">O11*ASSUMPTIONS!$C$6</f>
        <v>212.799829984736</v>
      </c>
      <c r="P12" s="13" t="n">
        <f aca="false">P11*ASSUMPTIONS!$C$6</f>
        <v>213.174089181105</v>
      </c>
      <c r="Q12" s="13" t="n">
        <f aca="false">Q11*ASSUMPTIONS!$C$6</f>
        <v>213.554690187369</v>
      </c>
      <c r="R12" s="13" t="n">
        <f aca="false">R11*ASSUMPTIONS!$C$6</f>
        <v>213.941748405984</v>
      </c>
      <c r="S12" s="13" t="n">
        <f aca="false">S11*ASSUMPTIONS!$C$6</f>
        <v>214.33538143312</v>
      </c>
      <c r="T12" s="13" t="n">
        <f aca="false">T11*ASSUMPTIONS!$C$6</f>
        <v>214.735709101389</v>
      </c>
      <c r="U12" s="13" t="n">
        <f aca="false">U11*ASSUMPTIONS!$C$6</f>
        <v>215.142853523419</v>
      </c>
      <c r="V12" s="13" t="n">
        <f aca="false">V11*ASSUMPTIONS!$C$6</f>
        <v>215.55693913629</v>
      </c>
      <c r="W12" s="13" t="n">
        <f aca="false">W11*ASSUMPTIONS!$C$6</f>
        <v>215.978092746843</v>
      </c>
      <c r="X12" s="13" t="n">
        <f aca="false">X11*ASSUMPTIONS!$C$6</f>
        <v>216.406443577884</v>
      </c>
      <c r="Y12" s="13" t="n">
        <f aca="false">Y11*ASSUMPTIONS!$C$6</f>
        <v>216.842123315308</v>
      </c>
    </row>
    <row r="13" customFormat="false" ht="15" hidden="false" customHeight="true" outlineLevel="0" collapsed="false">
      <c r="A13" s="16" t="s">
        <v>194</v>
      </c>
      <c r="B13" s="13" t="n">
        <f aca="false">MIN(B12,CAPACITY_24M!B6)</f>
        <v>208.4628</v>
      </c>
      <c r="C13" s="13" t="n">
        <f aca="false">MIN(C12,CAPACITY_24M!C6)</f>
        <v>208.764192</v>
      </c>
      <c r="D13" s="13" t="n">
        <f aca="false">MIN(D12,CAPACITY_24M!D6)</f>
        <v>209.0706072</v>
      </c>
      <c r="E13" s="13" t="n">
        <f aca="false">MIN(E12,CAPACITY_24M!E6)</f>
        <v>209.3821360176</v>
      </c>
      <c r="F13" s="13" t="n">
        <f aca="false">MIN(F12,CAPACITY_24M!F6)</f>
        <v>209.698870578288</v>
      </c>
      <c r="G13" s="13" t="n">
        <f aca="false">MIN(G12,CAPACITY_24M!G6)</f>
        <v>210.020904748593</v>
      </c>
      <c r="H13" s="13" t="n">
        <f aca="false">MIN(H12,CAPACITY_24M!H6)</f>
        <v>210.348334169892</v>
      </c>
      <c r="I13" s="13" t="n">
        <f aca="false">MIN(I12,CAPACITY_24M!I6)</f>
        <v>210.68125629288</v>
      </c>
      <c r="J13" s="13" t="n">
        <f aca="false">MIN(J12,CAPACITY_24M!J6)</f>
        <v>211.019770412723</v>
      </c>
      <c r="K13" s="13" t="n">
        <f aca="false">MIN(K12,CAPACITY_24M!K6)</f>
        <v>211.363977704903</v>
      </c>
      <c r="L13" s="13" t="n">
        <f aca="false">MIN(L12,CAPACITY_24M!L6)</f>
        <v>211.713981261767</v>
      </c>
      <c r="M13" s="13" t="n">
        <f aca="false">MIN(M12,CAPACITY_24M!M6)</f>
        <v>212.069886129794</v>
      </c>
      <c r="N13" s="13" t="n">
        <f aca="false">MIN(N12,CAPACITY_24M!N6)</f>
        <v>212.431799347611</v>
      </c>
      <c r="O13" s="13" t="n">
        <f aca="false">MIN(O12,CAPACITY_24M!O6)</f>
        <v>212.799829984736</v>
      </c>
      <c r="P13" s="13" t="n">
        <f aca="false">MIN(P12,CAPACITY_24M!P6)</f>
        <v>213.174089181105</v>
      </c>
      <c r="Q13" s="13" t="n">
        <f aca="false">MIN(Q12,CAPACITY_24M!Q6)</f>
        <v>213.554690187369</v>
      </c>
      <c r="R13" s="13" t="n">
        <f aca="false">MIN(R12,CAPACITY_24M!R6)</f>
        <v>213.941748405984</v>
      </c>
      <c r="S13" s="13" t="n">
        <f aca="false">MIN(S12,CAPACITY_24M!S6)</f>
        <v>214.33538143312</v>
      </c>
      <c r="T13" s="13" t="n">
        <f aca="false">MIN(T12,CAPACITY_24M!T6)</f>
        <v>214.735709101389</v>
      </c>
      <c r="U13" s="13" t="n">
        <f aca="false">MIN(U12,CAPACITY_24M!U6)</f>
        <v>215.142853523419</v>
      </c>
      <c r="V13" s="13" t="n">
        <f aca="false">MIN(V12,CAPACITY_24M!V6)</f>
        <v>215.55693913629</v>
      </c>
      <c r="W13" s="13" t="n">
        <f aca="false">MIN(W12,CAPACITY_24M!W6)</f>
        <v>215.978092746843</v>
      </c>
      <c r="X13" s="13" t="n">
        <f aca="false">MIN(X12,CAPACITY_24M!X6)</f>
        <v>216.406443577884</v>
      </c>
      <c r="Y13" s="13" t="n">
        <f aca="false">MIN(Y12,CAPACITY_24M!Y6)</f>
        <v>216.842123315308</v>
      </c>
    </row>
    <row r="14" customFormat="false" ht="15" hidden="false" customHeight="true" outlineLevel="0" collapsed="false">
      <c r="A14" s="16" t="s">
        <v>195</v>
      </c>
      <c r="B14" s="13" t="n">
        <f aca="false">MAX(0,B12-B13)</f>
        <v>0</v>
      </c>
      <c r="C14" s="13" t="n">
        <f aca="false">MAX(0,C12-C13)</f>
        <v>0</v>
      </c>
      <c r="D14" s="13" t="n">
        <f aca="false">MAX(0,D12-D13)</f>
        <v>0</v>
      </c>
      <c r="E14" s="13" t="n">
        <f aca="false">MAX(0,E12-E13)</f>
        <v>0</v>
      </c>
      <c r="F14" s="13" t="n">
        <f aca="false">MAX(0,F12-F13)</f>
        <v>0</v>
      </c>
      <c r="G14" s="13" t="n">
        <f aca="false">MAX(0,G12-G13)</f>
        <v>0</v>
      </c>
      <c r="H14" s="13" t="n">
        <f aca="false">MAX(0,H12-H13)</f>
        <v>0</v>
      </c>
      <c r="I14" s="13" t="n">
        <f aca="false">MAX(0,I12-I13)</f>
        <v>0</v>
      </c>
      <c r="J14" s="13" t="n">
        <f aca="false">MAX(0,J12-J13)</f>
        <v>0</v>
      </c>
      <c r="K14" s="13" t="n">
        <f aca="false">MAX(0,K12-K13)</f>
        <v>0</v>
      </c>
      <c r="L14" s="13" t="n">
        <f aca="false">MAX(0,L12-L13)</f>
        <v>0</v>
      </c>
      <c r="M14" s="13" t="n">
        <f aca="false">MAX(0,M12-M13)</f>
        <v>0</v>
      </c>
      <c r="N14" s="13" t="n">
        <f aca="false">MAX(0,N12-N13)</f>
        <v>0</v>
      </c>
      <c r="O14" s="13" t="n">
        <f aca="false">MAX(0,O12-O13)</f>
        <v>0</v>
      </c>
      <c r="P14" s="13" t="n">
        <f aca="false">MAX(0,P12-P13)</f>
        <v>0</v>
      </c>
      <c r="Q14" s="13" t="n">
        <f aca="false">MAX(0,Q12-Q13)</f>
        <v>0</v>
      </c>
      <c r="R14" s="13" t="n">
        <f aca="false">MAX(0,R12-R13)</f>
        <v>0</v>
      </c>
      <c r="S14" s="13" t="n">
        <f aca="false">MAX(0,S12-S13)</f>
        <v>0</v>
      </c>
      <c r="T14" s="13" t="n">
        <f aca="false">MAX(0,T12-T13)</f>
        <v>0</v>
      </c>
      <c r="U14" s="13" t="n">
        <f aca="false">MAX(0,U12-U13)</f>
        <v>0</v>
      </c>
      <c r="V14" s="13" t="n">
        <f aca="false">MAX(0,V12-V13)</f>
        <v>0</v>
      </c>
      <c r="W14" s="13" t="n">
        <f aca="false">MAX(0,W12-W13)</f>
        <v>0</v>
      </c>
      <c r="X14" s="13" t="n">
        <f aca="false">MAX(0,X12-X13)</f>
        <v>0</v>
      </c>
      <c r="Y14" s="13" t="n">
        <f aca="false">MAX(0,Y12-Y13)</f>
        <v>0</v>
      </c>
    </row>
    <row r="15" customFormat="false" ht="15" hidden="false" customHeight="true" outlineLevel="0" collapsed="false">
      <c r="A15" s="16" t="s">
        <v>196</v>
      </c>
      <c r="B15" s="13" t="n">
        <f aca="false">B13*ASSUMPTIONS!$C$7</f>
        <v>87.554376</v>
      </c>
      <c r="C15" s="13" t="n">
        <f aca="false">C13*ASSUMPTIONS!$C$7</f>
        <v>87.68096064</v>
      </c>
      <c r="D15" s="13" t="n">
        <f aca="false">D13*ASSUMPTIONS!$C$7</f>
        <v>87.809655024</v>
      </c>
      <c r="E15" s="13" t="n">
        <f aca="false">E13*ASSUMPTIONS!$C$7</f>
        <v>87.940497127392</v>
      </c>
      <c r="F15" s="13" t="n">
        <f aca="false">F13*ASSUMPTIONS!$C$7</f>
        <v>88.073525642881</v>
      </c>
      <c r="G15" s="13" t="n">
        <f aca="false">G13*ASSUMPTIONS!$C$7</f>
        <v>88.2087799944091</v>
      </c>
      <c r="H15" s="13" t="n">
        <f aca="false">H13*ASSUMPTIONS!$C$7</f>
        <v>88.3463003513545</v>
      </c>
      <c r="I15" s="13" t="n">
        <f aca="false">I13*ASSUMPTIONS!$C$7</f>
        <v>88.4861276430095</v>
      </c>
      <c r="J15" s="13" t="n">
        <f aca="false">J13*ASSUMPTIONS!$C$7</f>
        <v>88.6283035733437</v>
      </c>
      <c r="K15" s="13" t="n">
        <f aca="false">K13*ASSUMPTIONS!$C$7</f>
        <v>88.7728706360594</v>
      </c>
      <c r="L15" s="13" t="n">
        <f aca="false">L13*ASSUMPTIONS!$C$7</f>
        <v>88.9198721299419</v>
      </c>
      <c r="M15" s="13" t="n">
        <f aca="false">M13*ASSUMPTIONS!$C$7</f>
        <v>89.0693521745137</v>
      </c>
      <c r="N15" s="13" t="n">
        <f aca="false">N13*ASSUMPTIONS!$C$7</f>
        <v>89.2213557259966</v>
      </c>
      <c r="O15" s="13" t="n">
        <f aca="false">O13*ASSUMPTIONS!$C$7</f>
        <v>89.3759285935891</v>
      </c>
      <c r="P15" s="13" t="n">
        <f aca="false">P13*ASSUMPTIONS!$C$7</f>
        <v>89.5331174560642</v>
      </c>
      <c r="Q15" s="13" t="n">
        <f aca="false">Q13*ASSUMPTIONS!$C$7</f>
        <v>89.6929698786949</v>
      </c>
      <c r="R15" s="13" t="n">
        <f aca="false">R13*ASSUMPTIONS!$C$7</f>
        <v>89.8555343305132</v>
      </c>
      <c r="S15" s="13" t="n">
        <f aca="false">S13*ASSUMPTIONS!$C$7</f>
        <v>90.0208602019103</v>
      </c>
      <c r="T15" s="13" t="n">
        <f aca="false">T13*ASSUMPTIONS!$C$7</f>
        <v>90.1889978225833</v>
      </c>
      <c r="U15" s="13" t="n">
        <f aca="false">U13*ASSUMPTIONS!$C$7</f>
        <v>90.359998479836</v>
      </c>
      <c r="V15" s="13" t="n">
        <f aca="false">V13*ASSUMPTIONS!$C$7</f>
        <v>90.5339144372419</v>
      </c>
      <c r="W15" s="13" t="n">
        <f aca="false">W13*ASSUMPTIONS!$C$7</f>
        <v>90.7107989536739</v>
      </c>
      <c r="X15" s="13" t="n">
        <f aca="false">X13*ASSUMPTIONS!$C$7</f>
        <v>90.8907063027115</v>
      </c>
      <c r="Y15" s="13" t="n">
        <f aca="false">Y13*ASSUMPTIONS!$C$7</f>
        <v>91.0736917924294</v>
      </c>
    </row>
    <row r="16" customFormat="false" ht="15" hidden="false" customHeight="true" outlineLevel="0" collapsed="false">
      <c r="A16" s="16" t="s">
        <v>197</v>
      </c>
      <c r="B16" s="13" t="n">
        <f aca="false">B13-B15</f>
        <v>120.908424</v>
      </c>
      <c r="C16" s="13" t="n">
        <f aca="false">C13-C15</f>
        <v>121.08323136</v>
      </c>
      <c r="D16" s="13" t="n">
        <f aca="false">D13-D15</f>
        <v>121.260952176</v>
      </c>
      <c r="E16" s="13" t="n">
        <f aca="false">E13-E15</f>
        <v>121.441638890208</v>
      </c>
      <c r="F16" s="13" t="n">
        <f aca="false">F13-F15</f>
        <v>121.625344935407</v>
      </c>
      <c r="G16" s="13" t="n">
        <f aca="false">G13-G15</f>
        <v>121.812124754184</v>
      </c>
      <c r="H16" s="13" t="n">
        <f aca="false">H13-H15</f>
        <v>122.002033818537</v>
      </c>
      <c r="I16" s="13" t="n">
        <f aca="false">I13-I15</f>
        <v>122.19512864987</v>
      </c>
      <c r="J16" s="13" t="n">
        <f aca="false">J13-J15</f>
        <v>122.391466839379</v>
      </c>
      <c r="K16" s="13" t="n">
        <f aca="false">K13-K15</f>
        <v>122.591107068844</v>
      </c>
      <c r="L16" s="13" t="n">
        <f aca="false">L13-L15</f>
        <v>122.794109131825</v>
      </c>
      <c r="M16" s="13" t="n">
        <f aca="false">M13-M15</f>
        <v>123.000533955281</v>
      </c>
      <c r="N16" s="13" t="n">
        <f aca="false">N13-N15</f>
        <v>123.210443621614</v>
      </c>
      <c r="O16" s="13" t="n">
        <f aca="false">O13-O15</f>
        <v>123.423901391147</v>
      </c>
      <c r="P16" s="13" t="n">
        <f aca="false">P13-P15</f>
        <v>123.640971725041</v>
      </c>
      <c r="Q16" s="13" t="n">
        <f aca="false">Q13-Q15</f>
        <v>123.861720308674</v>
      </c>
      <c r="R16" s="13" t="n">
        <f aca="false">R13-R15</f>
        <v>124.086214075471</v>
      </c>
      <c r="S16" s="13" t="n">
        <f aca="false">S13-S15</f>
        <v>124.31452123121</v>
      </c>
      <c r="T16" s="13" t="n">
        <f aca="false">T13-T15</f>
        <v>124.546711278805</v>
      </c>
      <c r="U16" s="13" t="n">
        <f aca="false">U13-U15</f>
        <v>124.782855043583</v>
      </c>
      <c r="V16" s="13" t="n">
        <f aca="false">V13-V15</f>
        <v>125.023024699048</v>
      </c>
      <c r="W16" s="13" t="n">
        <f aca="false">W13-W15</f>
        <v>125.267293793169</v>
      </c>
      <c r="X16" s="13" t="n">
        <f aca="false">X13-X15</f>
        <v>125.515737275173</v>
      </c>
      <c r="Y16" s="13" t="n">
        <f aca="false">Y13-Y15</f>
        <v>125.768431522879</v>
      </c>
    </row>
    <row r="17" customFormat="false" ht="15" hidden="false" customHeight="true" outlineLevel="0" collapsed="false">
      <c r="A17" s="16" t="s">
        <v>198</v>
      </c>
      <c r="B17" s="13" t="n">
        <f aca="false">B16*ASSUMPTIONS!$C$8</f>
        <v>26.59985328</v>
      </c>
      <c r="C17" s="13" t="n">
        <f aca="false">C16*ASSUMPTIONS!$C$8</f>
        <v>26.6383108992</v>
      </c>
      <c r="D17" s="13" t="n">
        <f aca="false">D16*ASSUMPTIONS!$C$8</f>
        <v>26.67740947872</v>
      </c>
      <c r="E17" s="13" t="n">
        <f aca="false">E16*ASSUMPTIONS!$C$8</f>
        <v>26.7171605558458</v>
      </c>
      <c r="F17" s="13" t="n">
        <f aca="false">F16*ASSUMPTIONS!$C$8</f>
        <v>26.7575758857896</v>
      </c>
      <c r="G17" s="13" t="n">
        <f aca="false">G16*ASSUMPTIONS!$C$8</f>
        <v>26.7986674459205</v>
      </c>
      <c r="H17" s="13" t="n">
        <f aca="false">H16*ASSUMPTIONS!$C$8</f>
        <v>26.8404474400782</v>
      </c>
      <c r="I17" s="13" t="n">
        <f aca="false">I16*ASSUMPTIONS!$C$8</f>
        <v>26.8829283029714</v>
      </c>
      <c r="J17" s="13" t="n">
        <f aca="false">J16*ASSUMPTIONS!$C$8</f>
        <v>26.9261227046635</v>
      </c>
      <c r="K17" s="13" t="n">
        <f aca="false">K16*ASSUMPTIONS!$C$8</f>
        <v>26.9700435551457</v>
      </c>
      <c r="L17" s="13" t="n">
        <f aca="false">L16*ASSUMPTIONS!$C$8</f>
        <v>27.0147040090014</v>
      </c>
      <c r="M17" s="13" t="n">
        <f aca="false">M16*ASSUMPTIONS!$C$8</f>
        <v>27.0601174701618</v>
      </c>
      <c r="N17" s="13" t="n">
        <f aca="false">N16*ASSUMPTIONS!$C$8</f>
        <v>27.1062975967552</v>
      </c>
      <c r="O17" s="13" t="n">
        <f aca="false">O16*ASSUMPTIONS!$C$8</f>
        <v>27.1532583060523</v>
      </c>
      <c r="P17" s="13" t="n">
        <f aca="false">P16*ASSUMPTIONS!$C$8</f>
        <v>27.201013779509</v>
      </c>
      <c r="Q17" s="13" t="n">
        <f aca="false">Q16*ASSUMPTIONS!$C$8</f>
        <v>27.2495784679083</v>
      </c>
      <c r="R17" s="13" t="n">
        <f aca="false">R16*ASSUMPTIONS!$C$8</f>
        <v>27.2989670966035</v>
      </c>
      <c r="S17" s="13" t="n">
        <f aca="false">S16*ASSUMPTIONS!$C$8</f>
        <v>27.3491946708661</v>
      </c>
      <c r="T17" s="13" t="n">
        <f aca="false">T16*ASSUMPTIONS!$C$8</f>
        <v>27.4002764813372</v>
      </c>
      <c r="U17" s="13" t="n">
        <f aca="false">U16*ASSUMPTIONS!$C$8</f>
        <v>27.4522281095883</v>
      </c>
      <c r="V17" s="13" t="n">
        <f aca="false">V16*ASSUMPTIONS!$C$8</f>
        <v>27.5050654337906</v>
      </c>
      <c r="W17" s="13" t="n">
        <f aca="false">W16*ASSUMPTIONS!$C$8</f>
        <v>27.5588046344971</v>
      </c>
      <c r="X17" s="13" t="n">
        <f aca="false">X16*ASSUMPTIONS!$C$8</f>
        <v>27.6134622005381</v>
      </c>
      <c r="Y17" s="13" t="n">
        <f aca="false">Y16*ASSUMPTIONS!$C$8</f>
        <v>27.6690549350333</v>
      </c>
    </row>
    <row r="18" customFormat="false" ht="15" hidden="false" customHeight="true" outlineLevel="0" collapsed="false">
      <c r="A18" s="16" t="s">
        <v>199</v>
      </c>
      <c r="B18" s="13" t="n">
        <f aca="false">B15+B17</f>
        <v>114.15422928</v>
      </c>
      <c r="C18" s="13" t="n">
        <f aca="false">C15+C17</f>
        <v>114.3192715392</v>
      </c>
      <c r="D18" s="13" t="n">
        <f aca="false">D15+D17</f>
        <v>114.48706450272</v>
      </c>
      <c r="E18" s="13" t="n">
        <f aca="false">E15+E17</f>
        <v>114.657657683238</v>
      </c>
      <c r="F18" s="13" t="n">
        <f aca="false">F15+F17</f>
        <v>114.831101528671</v>
      </c>
      <c r="G18" s="13" t="n">
        <f aca="false">G15+G17</f>
        <v>115.00744744033</v>
      </c>
      <c r="H18" s="13" t="n">
        <f aca="false">H15+H17</f>
        <v>115.186747791433</v>
      </c>
      <c r="I18" s="13" t="n">
        <f aca="false">I15+I17</f>
        <v>115.369055945981</v>
      </c>
      <c r="J18" s="13" t="n">
        <f aca="false">J15+J17</f>
        <v>115.554426278007</v>
      </c>
      <c r="K18" s="13" t="n">
        <f aca="false">K15+K17</f>
        <v>115.742914191205</v>
      </c>
      <c r="L18" s="13" t="n">
        <f aca="false">L15+L17</f>
        <v>115.934576138943</v>
      </c>
      <c r="M18" s="13" t="n">
        <f aca="false">M15+M17</f>
        <v>116.129469644675</v>
      </c>
      <c r="N18" s="13" t="n">
        <f aca="false">N15+N17</f>
        <v>116.327653322752</v>
      </c>
      <c r="O18" s="13" t="n">
        <f aca="false">O15+O17</f>
        <v>116.529186899641</v>
      </c>
      <c r="P18" s="13" t="n">
        <f aca="false">P15+P17</f>
        <v>116.734131235573</v>
      </c>
      <c r="Q18" s="13" t="n">
        <f aca="false">Q15+Q17</f>
        <v>116.942548346603</v>
      </c>
      <c r="R18" s="13" t="n">
        <f aca="false">R15+R17</f>
        <v>117.154501427117</v>
      </c>
      <c r="S18" s="13" t="n">
        <f aca="false">S15+S17</f>
        <v>117.370054872776</v>
      </c>
      <c r="T18" s="13" t="n">
        <f aca="false">T15+T17</f>
        <v>117.58927430392</v>
      </c>
      <c r="U18" s="13" t="n">
        <f aca="false">U15+U17</f>
        <v>117.812226589424</v>
      </c>
      <c r="V18" s="13" t="n">
        <f aca="false">V15+V17</f>
        <v>118.038979871033</v>
      </c>
      <c r="W18" s="13" t="n">
        <f aca="false">W15+W17</f>
        <v>118.269603588171</v>
      </c>
      <c r="X18" s="13" t="n">
        <f aca="false">X15+X17</f>
        <v>118.50416850325</v>
      </c>
      <c r="Y18" s="13" t="n">
        <f aca="false">Y15+Y17</f>
        <v>118.742746727463</v>
      </c>
    </row>
    <row r="19" customFormat="false" ht="15" hidden="false" customHeight="true" outlineLevel="0" collapsed="false">
      <c r="A19" s="16" t="s">
        <v>200</v>
      </c>
      <c r="B19" s="13" t="n">
        <f aca="false">B18*ASSUMPTIONS!$C$9</f>
        <v>5.707711464</v>
      </c>
      <c r="C19" s="13" t="n">
        <f aca="false">C18*ASSUMPTIONS!$C$9</f>
        <v>5.71596357696</v>
      </c>
      <c r="D19" s="13" t="n">
        <f aca="false">D18*ASSUMPTIONS!$C$9</f>
        <v>5.724353225136</v>
      </c>
      <c r="E19" s="13" t="n">
        <f aca="false">E18*ASSUMPTIONS!$C$9</f>
        <v>5.73288288416189</v>
      </c>
      <c r="F19" s="13" t="n">
        <f aca="false">F18*ASSUMPTIONS!$C$9</f>
        <v>5.74155507643353</v>
      </c>
      <c r="G19" s="13" t="n">
        <f aca="false">G18*ASSUMPTIONS!$C$9</f>
        <v>5.75037237201648</v>
      </c>
      <c r="H19" s="13" t="n">
        <f aca="false">H18*ASSUMPTIONS!$C$9</f>
        <v>5.75933738957164</v>
      </c>
      <c r="I19" s="13" t="n">
        <f aca="false">I18*ASSUMPTIONS!$C$9</f>
        <v>5.76845279729905</v>
      </c>
      <c r="J19" s="13" t="n">
        <f aca="false">J18*ASSUMPTIONS!$C$9</f>
        <v>5.77772131390036</v>
      </c>
      <c r="K19" s="13" t="n">
        <f aca="false">K18*ASSUMPTIONS!$C$9</f>
        <v>5.78714570956025</v>
      </c>
      <c r="L19" s="13" t="n">
        <f aca="false">L18*ASSUMPTIONS!$C$9</f>
        <v>5.79672880694717</v>
      </c>
      <c r="M19" s="13" t="n">
        <f aca="false">M18*ASSUMPTIONS!$C$9</f>
        <v>5.80647348223377</v>
      </c>
      <c r="N19" s="13" t="n">
        <f aca="false">N18*ASSUMPTIONS!$C$9</f>
        <v>5.81638266613759</v>
      </c>
      <c r="O19" s="13" t="n">
        <f aca="false">O18*ASSUMPTIONS!$C$9</f>
        <v>5.82645934498207</v>
      </c>
      <c r="P19" s="13" t="n">
        <f aca="false">P18*ASSUMPTIONS!$C$9</f>
        <v>5.83670656177866</v>
      </c>
      <c r="Q19" s="13" t="n">
        <f aca="false">Q18*ASSUMPTIONS!$C$9</f>
        <v>5.84712741733016</v>
      </c>
      <c r="R19" s="13" t="n">
        <f aca="false">R18*ASSUMPTIONS!$C$9</f>
        <v>5.85772507135583</v>
      </c>
      <c r="S19" s="13" t="n">
        <f aca="false">S18*ASSUMPTIONS!$C$9</f>
        <v>5.86850274363882</v>
      </c>
      <c r="T19" s="13" t="n">
        <f aca="false">T18*ASSUMPTIONS!$C$9</f>
        <v>5.87946371519602</v>
      </c>
      <c r="U19" s="13" t="n">
        <f aca="false">U18*ASSUMPTIONS!$C$9</f>
        <v>5.89061132947122</v>
      </c>
      <c r="V19" s="13" t="n">
        <f aca="false">V18*ASSUMPTIONS!$C$9</f>
        <v>5.90194899355163</v>
      </c>
      <c r="W19" s="13" t="n">
        <f aca="false">W18*ASSUMPTIONS!$C$9</f>
        <v>5.91348017940855</v>
      </c>
      <c r="X19" s="13" t="n">
        <f aca="false">X18*ASSUMPTIONS!$C$9</f>
        <v>5.92520842516248</v>
      </c>
      <c r="Y19" s="13" t="n">
        <f aca="false">Y18*ASSUMPTIONS!$C$9</f>
        <v>5.93713733637314</v>
      </c>
    </row>
    <row r="20" customFormat="false" ht="15" hidden="false" customHeight="true" outlineLevel="0" collapsed="false">
      <c r="A20" s="3" t="s">
        <v>201</v>
      </c>
      <c r="B20" s="13" t="n">
        <f aca="false">B18-B19</f>
        <v>108.446517816</v>
      </c>
      <c r="C20" s="13" t="n">
        <f aca="false">C18-C19</f>
        <v>108.60330796224</v>
      </c>
      <c r="D20" s="13" t="n">
        <f aca="false">D18-D19</f>
        <v>108.762711277584</v>
      </c>
      <c r="E20" s="13" t="n">
        <f aca="false">E18-E19</f>
        <v>108.924774799076</v>
      </c>
      <c r="F20" s="13" t="n">
        <f aca="false">F18-F19</f>
        <v>109.089546452237</v>
      </c>
      <c r="G20" s="13" t="n">
        <f aca="false">G18-G19</f>
        <v>109.257075068313</v>
      </c>
      <c r="H20" s="13" t="n">
        <f aca="false">H18-H19</f>
        <v>109.427410401861</v>
      </c>
      <c r="I20" s="13" t="n">
        <f aca="false">I18-I19</f>
        <v>109.600603148682</v>
      </c>
      <c r="J20" s="13" t="n">
        <f aca="false">J18-J19</f>
        <v>109.776704964107</v>
      </c>
      <c r="K20" s="13" t="n">
        <f aca="false">K18-K19</f>
        <v>109.955768481645</v>
      </c>
      <c r="L20" s="13" t="n">
        <f aca="false">L18-L19</f>
        <v>110.137847331996</v>
      </c>
      <c r="M20" s="13" t="n">
        <f aca="false">M18-M19</f>
        <v>110.322996162442</v>
      </c>
      <c r="N20" s="13" t="n">
        <f aca="false">N18-N19</f>
        <v>110.511270656614</v>
      </c>
      <c r="O20" s="13" t="n">
        <f aca="false">O18-O19</f>
        <v>110.702727554659</v>
      </c>
      <c r="P20" s="13" t="n">
        <f aca="false">P18-P19</f>
        <v>110.897424673795</v>
      </c>
      <c r="Q20" s="13" t="n">
        <f aca="false">Q18-Q19</f>
        <v>111.095420929273</v>
      </c>
      <c r="R20" s="13" t="n">
        <f aca="false">R18-R19</f>
        <v>111.296776355761</v>
      </c>
      <c r="S20" s="13" t="n">
        <f aca="false">S18-S19</f>
        <v>111.501552129138</v>
      </c>
      <c r="T20" s="13" t="n">
        <f aca="false">T18-T19</f>
        <v>111.709810588724</v>
      </c>
      <c r="U20" s="13" t="n">
        <f aca="false">U18-U19</f>
        <v>111.921615259953</v>
      </c>
      <c r="V20" s="13" t="n">
        <f aca="false">V18-V19</f>
        <v>112.137030877481</v>
      </c>
      <c r="W20" s="13" t="n">
        <f aca="false">W18-W19</f>
        <v>112.356123408763</v>
      </c>
      <c r="X20" s="13" t="n">
        <f aca="false">X18-X19</f>
        <v>112.578960078087</v>
      </c>
      <c r="Y20" s="13" t="n">
        <f aca="false">Y18-Y19</f>
        <v>112.80560939109</v>
      </c>
    </row>
    <row r="22" customFormat="false" ht="15" hidden="false" customHeight="true" outlineLevel="0" collapsed="false">
      <c r="A22" s="16" t="s">
        <v>202</v>
      </c>
      <c r="B22" s="19" t="n">
        <f aca="false">CASE_TYPES!$B$11</f>
        <v>388.25</v>
      </c>
      <c r="C22" s="19" t="n">
        <f aca="false">CASE_TYPES!$B$11</f>
        <v>388.25</v>
      </c>
      <c r="D22" s="19" t="n">
        <f aca="false">CASE_TYPES!$B$11</f>
        <v>388.25</v>
      </c>
      <c r="E22" s="19" t="n">
        <f aca="false">CASE_TYPES!$B$11</f>
        <v>388.25</v>
      </c>
      <c r="F22" s="19" t="n">
        <f aca="false">CASE_TYPES!$B$11</f>
        <v>388.25</v>
      </c>
      <c r="G22" s="19" t="n">
        <f aca="false">CASE_TYPES!$B$11</f>
        <v>388.25</v>
      </c>
      <c r="H22" s="19" t="n">
        <f aca="false">CASE_TYPES!$B$11</f>
        <v>388.25</v>
      </c>
      <c r="I22" s="19" t="n">
        <f aca="false">CASE_TYPES!$B$11</f>
        <v>388.25</v>
      </c>
      <c r="J22" s="19" t="n">
        <f aca="false">CASE_TYPES!$B$11</f>
        <v>388.25</v>
      </c>
      <c r="K22" s="19" t="n">
        <f aca="false">CASE_TYPES!$B$11</f>
        <v>388.25</v>
      </c>
      <c r="L22" s="19" t="n">
        <f aca="false">CASE_TYPES!$B$11</f>
        <v>388.25</v>
      </c>
      <c r="M22" s="19" t="n">
        <f aca="false">CASE_TYPES!$B$11</f>
        <v>388.25</v>
      </c>
      <c r="N22" s="19" t="n">
        <f aca="false">CASE_TYPES!$B$11</f>
        <v>388.25</v>
      </c>
      <c r="O22" s="19" t="n">
        <f aca="false">CASE_TYPES!$B$11</f>
        <v>388.25</v>
      </c>
      <c r="P22" s="19" t="n">
        <f aca="false">CASE_TYPES!$B$11</f>
        <v>388.25</v>
      </c>
      <c r="Q22" s="19" t="n">
        <f aca="false">CASE_TYPES!$B$11</f>
        <v>388.25</v>
      </c>
      <c r="R22" s="19" t="n">
        <f aca="false">CASE_TYPES!$B$11</f>
        <v>388.25</v>
      </c>
      <c r="S22" s="19" t="n">
        <f aca="false">CASE_TYPES!$B$11</f>
        <v>388.25</v>
      </c>
      <c r="T22" s="19" t="n">
        <f aca="false">CASE_TYPES!$B$11</f>
        <v>388.25</v>
      </c>
      <c r="U22" s="19" t="n">
        <f aca="false">CASE_TYPES!$B$11</f>
        <v>388.25</v>
      </c>
      <c r="V22" s="19" t="n">
        <f aca="false">CASE_TYPES!$B$11</f>
        <v>388.25</v>
      </c>
      <c r="W22" s="19" t="n">
        <f aca="false">CASE_TYPES!$B$11</f>
        <v>388.25</v>
      </c>
      <c r="X22" s="19" t="n">
        <f aca="false">CASE_TYPES!$B$11</f>
        <v>388.25</v>
      </c>
      <c r="Y22" s="19" t="n">
        <f aca="false">CASE_TYPES!$B$11</f>
        <v>388.25</v>
      </c>
    </row>
    <row r="23" customFormat="false" ht="15" hidden="false" customHeight="true" outlineLevel="0" collapsed="false">
      <c r="A23" s="16" t="s">
        <v>203</v>
      </c>
      <c r="B23" s="19" t="n">
        <f aca="false">CASE_TYPES!$B$12</f>
        <v>359.38</v>
      </c>
      <c r="C23" s="19" t="n">
        <f aca="false">CASE_TYPES!$B$12</f>
        <v>359.38</v>
      </c>
      <c r="D23" s="19" t="n">
        <f aca="false">CASE_TYPES!$B$12</f>
        <v>359.38</v>
      </c>
      <c r="E23" s="19" t="n">
        <f aca="false">CASE_TYPES!$B$12</f>
        <v>359.38</v>
      </c>
      <c r="F23" s="19" t="n">
        <f aca="false">CASE_TYPES!$B$12</f>
        <v>359.38</v>
      </c>
      <c r="G23" s="19" t="n">
        <f aca="false">CASE_TYPES!$B$12</f>
        <v>359.38</v>
      </c>
      <c r="H23" s="19" t="n">
        <f aca="false">CASE_TYPES!$B$12</f>
        <v>359.38</v>
      </c>
      <c r="I23" s="19" t="n">
        <f aca="false">CASE_TYPES!$B$12</f>
        <v>359.38</v>
      </c>
      <c r="J23" s="19" t="n">
        <f aca="false">CASE_TYPES!$B$12</f>
        <v>359.38</v>
      </c>
      <c r="K23" s="19" t="n">
        <f aca="false">CASE_TYPES!$B$12</f>
        <v>359.38</v>
      </c>
      <c r="L23" s="19" t="n">
        <f aca="false">CASE_TYPES!$B$12</f>
        <v>359.38</v>
      </c>
      <c r="M23" s="19" t="n">
        <f aca="false">CASE_TYPES!$B$12</f>
        <v>359.38</v>
      </c>
      <c r="N23" s="19" t="n">
        <f aca="false">CASE_TYPES!$B$12</f>
        <v>359.38</v>
      </c>
      <c r="O23" s="19" t="n">
        <f aca="false">CASE_TYPES!$B$12</f>
        <v>359.38</v>
      </c>
      <c r="P23" s="19" t="n">
        <f aca="false">CASE_TYPES!$B$12</f>
        <v>359.38</v>
      </c>
      <c r="Q23" s="19" t="n">
        <f aca="false">CASE_TYPES!$B$12</f>
        <v>359.38</v>
      </c>
      <c r="R23" s="19" t="n">
        <f aca="false">CASE_TYPES!$B$12</f>
        <v>359.38</v>
      </c>
      <c r="S23" s="19" t="n">
        <f aca="false">CASE_TYPES!$B$12</f>
        <v>359.38</v>
      </c>
      <c r="T23" s="19" t="n">
        <f aca="false">CASE_TYPES!$B$12</f>
        <v>359.38</v>
      </c>
      <c r="U23" s="19" t="n">
        <f aca="false">CASE_TYPES!$B$12</f>
        <v>359.38</v>
      </c>
      <c r="V23" s="19" t="n">
        <f aca="false">CASE_TYPES!$B$12</f>
        <v>359.38</v>
      </c>
      <c r="W23" s="19" t="n">
        <f aca="false">CASE_TYPES!$B$12</f>
        <v>359.38</v>
      </c>
      <c r="X23" s="19" t="n">
        <f aca="false">CASE_TYPES!$B$12</f>
        <v>359.38</v>
      </c>
      <c r="Y23" s="19" t="n">
        <f aca="false">CASE_TYPES!$B$12</f>
        <v>359.38</v>
      </c>
    </row>
    <row r="24" customFormat="false" ht="15" hidden="false" customHeight="true" outlineLevel="0" collapsed="false">
      <c r="A24" s="3" t="s">
        <v>204</v>
      </c>
      <c r="B24" s="12" t="n">
        <f aca="false">B15*B22+B17*B23</f>
        <v>43552.4417537664</v>
      </c>
      <c r="C24" s="12" t="n">
        <f aca="false">C15*C22+C17*C23</f>
        <v>43615.4091394345</v>
      </c>
      <c r="D24" s="12" t="n">
        <f aca="false">D15*D22+D17*D23</f>
        <v>43679.4259815304</v>
      </c>
      <c r="E24" s="12" t="n">
        <f aca="false">E15*E22+E17*E23</f>
        <v>43744.5111702698</v>
      </c>
      <c r="F24" s="12" t="n">
        <f aca="false">F15*F22+F17*F23</f>
        <v>43810.6839526836</v>
      </c>
      <c r="G24" s="12" t="n">
        <f aca="false">G15*G22+G17*G23</f>
        <v>43877.9639395442</v>
      </c>
      <c r="H24" s="12" t="n">
        <f aca="false">H15*H22+H17*H23</f>
        <v>43946.3711124287</v>
      </c>
      <c r="I24" s="12" t="n">
        <f aca="false">I15*I22+I17*I23</f>
        <v>44015.9258309203</v>
      </c>
      <c r="J24" s="12" t="n">
        <f aca="false">J15*J22+J17*J23</f>
        <v>44086.6488399527</v>
      </c>
      <c r="K24" s="12" t="n">
        <f aca="false">K15*K22+K17*K23</f>
        <v>44158.5612772983</v>
      </c>
      <c r="L24" s="12" t="n">
        <f aca="false">L15*L22+L17*L23</f>
        <v>44231.6846812049</v>
      </c>
      <c r="M24" s="12" t="n">
        <f aca="false">M15*M22+M17*M23</f>
        <v>44306.0409981817</v>
      </c>
      <c r="N24" s="12" t="n">
        <f aca="false">N15*N22+N17*N23</f>
        <v>44381.6525909401</v>
      </c>
      <c r="O24" s="12" t="n">
        <f aca="false">O15*O22+O17*O23</f>
        <v>44458.5422464901</v>
      </c>
      <c r="P24" s="12" t="n">
        <f aca="false">P15*P22+P17*P23</f>
        <v>44536.7331843969</v>
      </c>
      <c r="Q24" s="12" t="n">
        <f aca="false">Q15*Q22+Q17*Q23</f>
        <v>44616.2490652001</v>
      </c>
      <c r="R24" s="12" t="n">
        <f aca="false">R15*R22+R17*R23</f>
        <v>44697.1139989991</v>
      </c>
      <c r="S24" s="12" t="n">
        <f aca="false">S15*S22+S17*S23</f>
        <v>44779.3525542075</v>
      </c>
      <c r="T24" s="12" t="n">
        <f aca="false">T15*T22+T17*T23</f>
        <v>44862.9897664809</v>
      </c>
      <c r="U24" s="12" t="n">
        <f aca="false">U15*U22+U17*U23</f>
        <v>44948.0511478202</v>
      </c>
      <c r="V24" s="12" t="n">
        <f aca="false">V15*V22+V17*V23</f>
        <v>45034.5626958548</v>
      </c>
      <c r="W24" s="12" t="n">
        <f aca="false">W15*W22+W17*W23</f>
        <v>45122.5509033095</v>
      </c>
      <c r="X24" s="12" t="n">
        <f aca="false">X15*X22+X17*X23</f>
        <v>45212.0427676571</v>
      </c>
      <c r="Y24" s="12" t="n">
        <f aca="false">Y15*Y22+Y17*Y23</f>
        <v>45303.065800963</v>
      </c>
    </row>
    <row r="25" customFormat="false" ht="15" hidden="false" customHeight="true" outlineLevel="0" collapsed="false">
      <c r="A25" s="16" t="s">
        <v>205</v>
      </c>
      <c r="B25" s="12" t="n">
        <f aca="false">B24*ASSUMPTIONS!$C$9</f>
        <v>2177.62208768832</v>
      </c>
      <c r="C25" s="12" t="n">
        <f aca="false">C24*ASSUMPTIONS!$C$9</f>
        <v>2180.77045697173</v>
      </c>
      <c r="D25" s="12" t="n">
        <f aca="false">D24*ASSUMPTIONS!$C$9</f>
        <v>2183.97129907652</v>
      </c>
      <c r="E25" s="12" t="n">
        <f aca="false">E24*ASSUMPTIONS!$C$9</f>
        <v>2187.22555851349</v>
      </c>
      <c r="F25" s="12" t="n">
        <f aca="false">F24*ASSUMPTIONS!$C$9</f>
        <v>2190.53419763418</v>
      </c>
      <c r="G25" s="12" t="n">
        <f aca="false">G24*ASSUMPTIONS!$C$9</f>
        <v>2193.89819697721</v>
      </c>
      <c r="H25" s="12" t="n">
        <f aca="false">H24*ASSUMPTIONS!$C$9</f>
        <v>2197.31855562144</v>
      </c>
      <c r="I25" s="12" t="n">
        <f aca="false">I24*ASSUMPTIONS!$C$9</f>
        <v>2200.79629154602</v>
      </c>
      <c r="J25" s="12" t="n">
        <f aca="false">J24*ASSUMPTIONS!$C$9</f>
        <v>2204.33244199763</v>
      </c>
      <c r="K25" s="12" t="n">
        <f aca="false">K24*ASSUMPTIONS!$C$9</f>
        <v>2207.92806386492</v>
      </c>
      <c r="L25" s="12" t="n">
        <f aca="false">L24*ASSUMPTIONS!$C$9</f>
        <v>2211.58423406024</v>
      </c>
      <c r="M25" s="12" t="n">
        <f aca="false">M24*ASSUMPTIONS!$C$9</f>
        <v>2215.30204990908</v>
      </c>
      <c r="N25" s="12" t="n">
        <f aca="false">N24*ASSUMPTIONS!$C$9</f>
        <v>2219.082629547</v>
      </c>
      <c r="O25" s="12" t="n">
        <f aca="false">O24*ASSUMPTIONS!$C$9</f>
        <v>2222.9271123245</v>
      </c>
      <c r="P25" s="12" t="n">
        <f aca="false">P24*ASSUMPTIONS!$C$9</f>
        <v>2226.83665921985</v>
      </c>
      <c r="Q25" s="12" t="n">
        <f aca="false">Q24*ASSUMPTIONS!$C$9</f>
        <v>2230.81245326001</v>
      </c>
      <c r="R25" s="12" t="n">
        <f aca="false">R24*ASSUMPTIONS!$C$9</f>
        <v>2234.85569994996</v>
      </c>
      <c r="S25" s="12" t="n">
        <f aca="false">S24*ASSUMPTIONS!$C$9</f>
        <v>2238.96762771038</v>
      </c>
      <c r="T25" s="12" t="n">
        <f aca="false">T24*ASSUMPTIONS!$C$9</f>
        <v>2243.14948832405</v>
      </c>
      <c r="U25" s="12" t="n">
        <f aca="false">U24*ASSUMPTIONS!$C$9</f>
        <v>2247.40255739101</v>
      </c>
      <c r="V25" s="12" t="n">
        <f aca="false">V24*ASSUMPTIONS!$C$9</f>
        <v>2251.72813479274</v>
      </c>
      <c r="W25" s="12" t="n">
        <f aca="false">W24*ASSUMPTIONS!$C$9</f>
        <v>2256.12754516547</v>
      </c>
      <c r="X25" s="12" t="n">
        <f aca="false">X24*ASSUMPTIONS!$C$9</f>
        <v>2260.60213838285</v>
      </c>
      <c r="Y25" s="12" t="n">
        <f aca="false">Y24*ASSUMPTIONS!$C$9</f>
        <v>2265.15329004815</v>
      </c>
    </row>
    <row r="26" customFormat="false" ht="15" hidden="false" customHeight="true" outlineLevel="0" collapsed="false">
      <c r="A26" s="3" t="s">
        <v>206</v>
      </c>
      <c r="B26" s="12" t="n">
        <f aca="false">B24-B25</f>
        <v>41374.8196660781</v>
      </c>
      <c r="C26" s="12" t="n">
        <f aca="false">C24-C25</f>
        <v>41434.6386824628</v>
      </c>
      <c r="D26" s="12" t="n">
        <f aca="false">D24-D25</f>
        <v>41495.4546824539</v>
      </c>
      <c r="E26" s="12" t="n">
        <f aca="false">E24-E25</f>
        <v>41557.2856117563</v>
      </c>
      <c r="F26" s="12" t="n">
        <f aca="false">F24-F25</f>
        <v>41620.1497550494</v>
      </c>
      <c r="G26" s="12" t="n">
        <f aca="false">G24-G25</f>
        <v>41684.065742567</v>
      </c>
      <c r="H26" s="12" t="n">
        <f aca="false">H24-H25</f>
        <v>41749.0525568073</v>
      </c>
      <c r="I26" s="12" t="n">
        <f aca="false">I24-I25</f>
        <v>41815.1295393743</v>
      </c>
      <c r="J26" s="12" t="n">
        <f aca="false">J24-J25</f>
        <v>41882.316397955</v>
      </c>
      <c r="K26" s="12" t="n">
        <f aca="false">K24-K25</f>
        <v>41950.6332134334</v>
      </c>
      <c r="L26" s="12" t="n">
        <f aca="false">L24-L25</f>
        <v>42020.1004471446</v>
      </c>
      <c r="M26" s="12" t="n">
        <f aca="false">M24-M25</f>
        <v>42090.7389482726</v>
      </c>
      <c r="N26" s="12" t="n">
        <f aca="false">N24-N25</f>
        <v>42162.5699613931</v>
      </c>
      <c r="O26" s="12" t="n">
        <f aca="false">O24-O25</f>
        <v>42235.6151341656</v>
      </c>
      <c r="P26" s="12" t="n">
        <f aca="false">P24-P25</f>
        <v>42309.8965251771</v>
      </c>
      <c r="Q26" s="12" t="n">
        <f aca="false">Q24-Q25</f>
        <v>42385.4366119401</v>
      </c>
      <c r="R26" s="12" t="n">
        <f aca="false">R24-R25</f>
        <v>42462.2582990492</v>
      </c>
      <c r="S26" s="12" t="n">
        <f aca="false">S24-S25</f>
        <v>42540.3849264972</v>
      </c>
      <c r="T26" s="12" t="n">
        <f aca="false">T24-T25</f>
        <v>42619.8402781569</v>
      </c>
      <c r="U26" s="12" t="n">
        <f aca="false">U24-U25</f>
        <v>42700.6485904292</v>
      </c>
      <c r="V26" s="12" t="n">
        <f aca="false">V24-V25</f>
        <v>42782.8345610621</v>
      </c>
      <c r="W26" s="12" t="n">
        <f aca="false">W24-W25</f>
        <v>42866.423358144</v>
      </c>
      <c r="X26" s="12" t="n">
        <f aca="false">X24-X25</f>
        <v>42951.4406292742</v>
      </c>
      <c r="Y26" s="12" t="n">
        <f aca="false">Y24-Y25</f>
        <v>43037.9125109149</v>
      </c>
    </row>
    <row r="28" customFormat="false" ht="15" hidden="false" customHeight="true" outlineLevel="0" collapsed="false">
      <c r="A28" s="16" t="s">
        <v>207</v>
      </c>
      <c r="B28" s="12" t="n">
        <f aca="false">B6*CHANNELS!$E$5</f>
        <v>0</v>
      </c>
      <c r="C28" s="12" t="n">
        <f aca="false">C6*CHANNELS!$E$5</f>
        <v>0</v>
      </c>
      <c r="D28" s="12" t="n">
        <f aca="false">D6*CHANNELS!$E$5</f>
        <v>0</v>
      </c>
      <c r="E28" s="12" t="n">
        <f aca="false">E6*CHANNELS!$E$5</f>
        <v>0</v>
      </c>
      <c r="F28" s="12" t="n">
        <f aca="false">F6*CHANNELS!$E$5</f>
        <v>0</v>
      </c>
      <c r="G28" s="12" t="n">
        <f aca="false">G6*CHANNELS!$E$5</f>
        <v>0</v>
      </c>
      <c r="H28" s="12" t="n">
        <f aca="false">H6*CHANNELS!$E$5</f>
        <v>0</v>
      </c>
      <c r="I28" s="12" t="n">
        <f aca="false">I6*CHANNELS!$E$5</f>
        <v>0</v>
      </c>
      <c r="J28" s="12" t="n">
        <f aca="false">J6*CHANNELS!$E$5</f>
        <v>0</v>
      </c>
      <c r="K28" s="12" t="n">
        <f aca="false">K6*CHANNELS!$E$5</f>
        <v>0</v>
      </c>
      <c r="L28" s="12" t="n">
        <f aca="false">L6*CHANNELS!$E$5</f>
        <v>0</v>
      </c>
      <c r="M28" s="12" t="n">
        <f aca="false">M6*CHANNELS!$E$5</f>
        <v>0</v>
      </c>
      <c r="N28" s="12" t="n">
        <f aca="false">N6*CHANNELS!$E$5</f>
        <v>0</v>
      </c>
      <c r="O28" s="12" t="n">
        <f aca="false">O6*CHANNELS!$E$5</f>
        <v>0</v>
      </c>
      <c r="P28" s="12" t="n">
        <f aca="false">P6*CHANNELS!$E$5</f>
        <v>0</v>
      </c>
      <c r="Q28" s="12" t="n">
        <f aca="false">Q6*CHANNELS!$E$5</f>
        <v>0</v>
      </c>
      <c r="R28" s="12" t="n">
        <f aca="false">R6*CHANNELS!$E$5</f>
        <v>0</v>
      </c>
      <c r="S28" s="12" t="n">
        <f aca="false">S6*CHANNELS!$E$5</f>
        <v>0</v>
      </c>
      <c r="T28" s="12" t="n">
        <f aca="false">T6*CHANNELS!$E$5</f>
        <v>0</v>
      </c>
      <c r="U28" s="12" t="n">
        <f aca="false">U6*CHANNELS!$E$5</f>
        <v>0</v>
      </c>
      <c r="V28" s="12" t="n">
        <f aca="false">V6*CHANNELS!$E$5</f>
        <v>0</v>
      </c>
      <c r="W28" s="12" t="n">
        <f aca="false">W6*CHANNELS!$E$5</f>
        <v>0</v>
      </c>
      <c r="X28" s="12" t="n">
        <f aca="false">X6*CHANNELS!$E$5</f>
        <v>0</v>
      </c>
      <c r="Y28" s="12" t="n">
        <f aca="false">Y6*CHANNELS!$E$5</f>
        <v>0</v>
      </c>
    </row>
    <row r="29" customFormat="false" ht="15" hidden="false" customHeight="true" outlineLevel="0" collapsed="false">
      <c r="A29" s="16" t="s">
        <v>208</v>
      </c>
      <c r="B29" s="12" t="n">
        <f aca="false">B7*CHANNELS!$E$6</f>
        <v>0</v>
      </c>
      <c r="C29" s="12" t="n">
        <f aca="false">C7*CHANNELS!$E$6</f>
        <v>0</v>
      </c>
      <c r="D29" s="12" t="n">
        <f aca="false">D7*CHANNELS!$E$6</f>
        <v>0</v>
      </c>
      <c r="E29" s="12" t="n">
        <f aca="false">E7*CHANNELS!$E$6</f>
        <v>0</v>
      </c>
      <c r="F29" s="12" t="n">
        <f aca="false">F7*CHANNELS!$E$6</f>
        <v>0</v>
      </c>
      <c r="G29" s="12" t="n">
        <f aca="false">G7*CHANNELS!$E$6</f>
        <v>0</v>
      </c>
      <c r="H29" s="12" t="n">
        <f aca="false">H7*CHANNELS!$E$6</f>
        <v>0</v>
      </c>
      <c r="I29" s="12" t="n">
        <f aca="false">I7*CHANNELS!$E$6</f>
        <v>0</v>
      </c>
      <c r="J29" s="12" t="n">
        <f aca="false">J7*CHANNELS!$E$6</f>
        <v>0</v>
      </c>
      <c r="K29" s="12" t="n">
        <f aca="false">K7*CHANNELS!$E$6</f>
        <v>0</v>
      </c>
      <c r="L29" s="12" t="n">
        <f aca="false">L7*CHANNELS!$E$6</f>
        <v>0</v>
      </c>
      <c r="M29" s="12" t="n">
        <f aca="false">M7*CHANNELS!$E$6</f>
        <v>0</v>
      </c>
      <c r="N29" s="12" t="n">
        <f aca="false">N7*CHANNELS!$E$6</f>
        <v>0</v>
      </c>
      <c r="O29" s="12" t="n">
        <f aca="false">O7*CHANNELS!$E$6</f>
        <v>0</v>
      </c>
      <c r="P29" s="12" t="n">
        <f aca="false">P7*CHANNELS!$E$6</f>
        <v>0</v>
      </c>
      <c r="Q29" s="12" t="n">
        <f aca="false">Q7*CHANNELS!$E$6</f>
        <v>0</v>
      </c>
      <c r="R29" s="12" t="n">
        <f aca="false">R7*CHANNELS!$E$6</f>
        <v>0</v>
      </c>
      <c r="S29" s="12" t="n">
        <f aca="false">S7*CHANNELS!$E$6</f>
        <v>0</v>
      </c>
      <c r="T29" s="12" t="n">
        <f aca="false">T7*CHANNELS!$E$6</f>
        <v>0</v>
      </c>
      <c r="U29" s="12" t="n">
        <f aca="false">U7*CHANNELS!$E$6</f>
        <v>0</v>
      </c>
      <c r="V29" s="12" t="n">
        <f aca="false">V7*CHANNELS!$E$6</f>
        <v>0</v>
      </c>
      <c r="W29" s="12" t="n">
        <f aca="false">W7*CHANNELS!$E$6</f>
        <v>0</v>
      </c>
      <c r="X29" s="12" t="n">
        <f aca="false">X7*CHANNELS!$E$6</f>
        <v>0</v>
      </c>
      <c r="Y29" s="12" t="n">
        <f aca="false">Y7*CHANNELS!$E$6</f>
        <v>0</v>
      </c>
    </row>
    <row r="30" customFormat="false" ht="15" hidden="false" customHeight="true" outlineLevel="0" collapsed="false">
      <c r="A30" s="16" t="s">
        <v>209</v>
      </c>
      <c r="B30" s="12" t="n">
        <f aca="false">B8*CHANNELS!$E$7</f>
        <v>0</v>
      </c>
      <c r="C30" s="12" t="n">
        <f aca="false">C8*CHANNELS!$E$7</f>
        <v>0</v>
      </c>
      <c r="D30" s="12" t="n">
        <f aca="false">D8*CHANNELS!$E$7</f>
        <v>0</v>
      </c>
      <c r="E30" s="12" t="n">
        <f aca="false">E8*CHANNELS!$E$7</f>
        <v>0</v>
      </c>
      <c r="F30" s="12" t="n">
        <f aca="false">F8*CHANNELS!$E$7</f>
        <v>0</v>
      </c>
      <c r="G30" s="12" t="n">
        <f aca="false">G8*CHANNELS!$E$7</f>
        <v>0</v>
      </c>
      <c r="H30" s="12" t="n">
        <f aca="false">H8*CHANNELS!$E$7</f>
        <v>0</v>
      </c>
      <c r="I30" s="12" t="n">
        <f aca="false">I8*CHANNELS!$E$7</f>
        <v>0</v>
      </c>
      <c r="J30" s="12" t="n">
        <f aca="false">J8*CHANNELS!$E$7</f>
        <v>0</v>
      </c>
      <c r="K30" s="12" t="n">
        <f aca="false">K8*CHANNELS!$E$7</f>
        <v>0</v>
      </c>
      <c r="L30" s="12" t="n">
        <f aca="false">L8*CHANNELS!$E$7</f>
        <v>0</v>
      </c>
      <c r="M30" s="12" t="n">
        <f aca="false">M8*CHANNELS!$E$7</f>
        <v>0</v>
      </c>
      <c r="N30" s="12" t="n">
        <f aca="false">N8*CHANNELS!$E$7</f>
        <v>0</v>
      </c>
      <c r="O30" s="12" t="n">
        <f aca="false">O8*CHANNELS!$E$7</f>
        <v>0</v>
      </c>
      <c r="P30" s="12" t="n">
        <f aca="false">P8*CHANNELS!$E$7</f>
        <v>0</v>
      </c>
      <c r="Q30" s="12" t="n">
        <f aca="false">Q8*CHANNELS!$E$7</f>
        <v>0</v>
      </c>
      <c r="R30" s="12" t="n">
        <f aca="false">R8*CHANNELS!$E$7</f>
        <v>0</v>
      </c>
      <c r="S30" s="12" t="n">
        <f aca="false">S8*CHANNELS!$E$7</f>
        <v>0</v>
      </c>
      <c r="T30" s="12" t="n">
        <f aca="false">T8*CHANNELS!$E$7</f>
        <v>0</v>
      </c>
      <c r="U30" s="12" t="n">
        <f aca="false">U8*CHANNELS!$E$7</f>
        <v>0</v>
      </c>
      <c r="V30" s="12" t="n">
        <f aca="false">V8*CHANNELS!$E$7</f>
        <v>0</v>
      </c>
      <c r="W30" s="12" t="n">
        <f aca="false">W8*CHANNELS!$E$7</f>
        <v>0</v>
      </c>
      <c r="X30" s="12" t="n">
        <f aca="false">X8*CHANNELS!$E$7</f>
        <v>0</v>
      </c>
      <c r="Y30" s="12" t="n">
        <f aca="false">Y8*CHANNELS!$E$7</f>
        <v>0</v>
      </c>
    </row>
    <row r="31" customFormat="false" ht="15" hidden="false" customHeight="true" outlineLevel="0" collapsed="false">
      <c r="A31" s="3" t="s">
        <v>210</v>
      </c>
      <c r="B31" s="12" t="n">
        <f aca="false">SUM(B28:B30)</f>
        <v>0</v>
      </c>
      <c r="C31" s="12" t="n">
        <f aca="false">SUM(C28:C30)</f>
        <v>0</v>
      </c>
      <c r="D31" s="12" t="n">
        <f aca="false">SUM(D28:D30)</f>
        <v>0</v>
      </c>
      <c r="E31" s="12" t="n">
        <f aca="false">SUM(E28:E30)</f>
        <v>0</v>
      </c>
      <c r="F31" s="12" t="n">
        <f aca="false">SUM(F28:F30)</f>
        <v>0</v>
      </c>
      <c r="G31" s="12" t="n">
        <f aca="false">SUM(G28:G30)</f>
        <v>0</v>
      </c>
      <c r="H31" s="12" t="n">
        <f aca="false">SUM(H28:H30)</f>
        <v>0</v>
      </c>
      <c r="I31" s="12" t="n">
        <f aca="false">SUM(I28:I30)</f>
        <v>0</v>
      </c>
      <c r="J31" s="12" t="n">
        <f aca="false">SUM(J28:J30)</f>
        <v>0</v>
      </c>
      <c r="K31" s="12" t="n">
        <f aca="false">SUM(K28:K30)</f>
        <v>0</v>
      </c>
      <c r="L31" s="12" t="n">
        <f aca="false">SUM(L28:L30)</f>
        <v>0</v>
      </c>
      <c r="M31" s="12" t="n">
        <f aca="false">SUM(M28:M30)</f>
        <v>0</v>
      </c>
      <c r="N31" s="12" t="n">
        <f aca="false">SUM(N28:N30)</f>
        <v>0</v>
      </c>
      <c r="O31" s="12" t="n">
        <f aca="false">SUM(O28:O30)</f>
        <v>0</v>
      </c>
      <c r="P31" s="12" t="n">
        <f aca="false">SUM(P28:P30)</f>
        <v>0</v>
      </c>
      <c r="Q31" s="12" t="n">
        <f aca="false">SUM(Q28:Q30)</f>
        <v>0</v>
      </c>
      <c r="R31" s="12" t="n">
        <f aca="false">SUM(R28:R30)</f>
        <v>0</v>
      </c>
      <c r="S31" s="12" t="n">
        <f aca="false">SUM(S28:S30)</f>
        <v>0</v>
      </c>
      <c r="T31" s="12" t="n">
        <f aca="false">SUM(T28:T30)</f>
        <v>0</v>
      </c>
      <c r="U31" s="12" t="n">
        <f aca="false">SUM(U28:U30)</f>
        <v>0</v>
      </c>
      <c r="V31" s="12" t="n">
        <f aca="false">SUM(V28:V30)</f>
        <v>0</v>
      </c>
      <c r="W31" s="12" t="n">
        <f aca="false">SUM(W28:W30)</f>
        <v>0</v>
      </c>
      <c r="X31" s="12" t="n">
        <f aca="false">SUM(X28:X30)</f>
        <v>0</v>
      </c>
      <c r="Y31" s="12" t="n">
        <f aca="false">SUM(Y28:Y30)</f>
        <v>0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20"/>
  </cols>
  <sheetData>
    <row r="1" customFormat="false" ht="21.75" hidden="false" customHeight="true" outlineLevel="0" collapsed="false">
      <c r="A1" s="2" t="s">
        <v>211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4" t="s">
        <v>127</v>
      </c>
      <c r="B3" s="4" t="s">
        <v>212</v>
      </c>
      <c r="C3" s="4" t="s">
        <v>213</v>
      </c>
      <c r="D3" s="4" t="s">
        <v>214</v>
      </c>
      <c r="E3" s="4" t="s">
        <v>215</v>
      </c>
      <c r="F3" s="4" t="s">
        <v>216</v>
      </c>
      <c r="G3" s="4" t="s">
        <v>217</v>
      </c>
      <c r="H3" s="4" t="s">
        <v>218</v>
      </c>
      <c r="I3" s="4" t="s">
        <v>219</v>
      </c>
      <c r="J3" s="4" t="s">
        <v>220</v>
      </c>
    </row>
    <row r="4" customFormat="false" ht="15" hidden="false" customHeight="true" outlineLevel="0" collapsed="false">
      <c r="A4" s="20" t="str">
        <f aca="false">CASE_TYPES!A4</f>
        <v>Simple</v>
      </c>
      <c r="B4" s="12" t="n">
        <f aca="false">CASE_TYPES!C4*(1-CASE_TYPES!D4)</f>
        <v>290</v>
      </c>
      <c r="C4" s="12" t="n">
        <f aca="false">CASE_TYPES!C4*(1-CASE_TYPES!E4)</f>
        <v>266.8</v>
      </c>
      <c r="D4" s="12" t="n">
        <f aca="false">CASE_TYPES!I4*ASSUMPTIONS!$C$30</f>
        <v>11.2</v>
      </c>
      <c r="E4" s="12" t="n">
        <f aca="false">CASE_TYPES!J4</f>
        <v>6</v>
      </c>
      <c r="F4" s="12" t="n">
        <f aca="false">CASE_TYPES!K4</f>
        <v>8</v>
      </c>
      <c r="G4" s="13" t="n">
        <f aca="false">CASE_TYPES!F4+CASE_TYPES!G4+CASE_TYPES!H4</f>
        <v>2.5</v>
      </c>
      <c r="H4" s="13" t="n">
        <f aca="false">G4+ASSUMPTIONS!$C$28*ASSUMPTIONS!$C$29</f>
        <v>2.564</v>
      </c>
      <c r="I4" s="12" t="n">
        <f aca="false">ASSUMPTIONS!$C$16</f>
        <v>30</v>
      </c>
      <c r="J4" s="12" t="n">
        <f aca="false">((B4*ASSUMPTIONS!$C$7+C4*(1-ASSUMPTIONS!$C$7)*ASSUMPTIONS!$C$8)/(ASSUMPTIONS!$C$7+(1-ASSUMPTIONS!$C$7)*ASSUMPTIONS!$C$8)) - D4-E4-F4-I4</f>
        <v>229.394010226443</v>
      </c>
    </row>
    <row r="5" customFormat="false" ht="15" hidden="false" customHeight="true" outlineLevel="0" collapsed="false">
      <c r="A5" s="20" t="str">
        <f aca="false">CASE_TYPES!A5</f>
        <v>Standard</v>
      </c>
      <c r="B5" s="12" t="n">
        <f aca="false">CASE_TYPES!C5*(1-CASE_TYPES!D5)</f>
        <v>378.3</v>
      </c>
      <c r="C5" s="12" t="n">
        <f aca="false">CASE_TYPES!C5*(1-CASE_TYPES!E5)</f>
        <v>351</v>
      </c>
      <c r="D5" s="12" t="n">
        <f aca="false">CASE_TYPES!I5*ASSUMPTIONS!$C$30</f>
        <v>16</v>
      </c>
      <c r="E5" s="12" t="n">
        <f aca="false">CASE_TYPES!J5</f>
        <v>8</v>
      </c>
      <c r="F5" s="12" t="n">
        <f aca="false">CASE_TYPES!K5</f>
        <v>12</v>
      </c>
      <c r="G5" s="13" t="n">
        <f aca="false">CASE_TYPES!F5+CASE_TYPES!G5+CASE_TYPES!H5</f>
        <v>3.3</v>
      </c>
      <c r="H5" s="13" t="n">
        <f aca="false">G5+ASSUMPTIONS!$C$28*ASSUMPTIONS!$C$29</f>
        <v>3.364</v>
      </c>
      <c r="I5" s="12" t="n">
        <f aca="false">ASSUMPTIONS!$C$16</f>
        <v>30</v>
      </c>
      <c r="J5" s="12" t="n">
        <f aca="false">((B5*ASSUMPTIONS!$C$7+C5*(1-ASSUMPTIONS!$C$7)*ASSUMPTIONS!$C$8)/(ASSUMPTIONS!$C$7+(1-ASSUMPTIONS!$C$7)*ASSUMPTIONS!$C$8)) - D5-E5-F5-I5</f>
        <v>305.938641344047</v>
      </c>
    </row>
    <row r="6" customFormat="false" ht="15" hidden="false" customHeight="true" outlineLevel="0" collapsed="false">
      <c r="A6" s="20" t="str">
        <f aca="false">CASE_TYPES!A6</f>
        <v>Complex</v>
      </c>
      <c r="B6" s="12" t="n">
        <f aca="false">CASE_TYPES!C6*(1-CASE_TYPES!D6)</f>
        <v>560.5</v>
      </c>
      <c r="C6" s="12" t="n">
        <f aca="false">CASE_TYPES!C6*(1-CASE_TYPES!E6)</f>
        <v>519.2</v>
      </c>
      <c r="D6" s="12" t="n">
        <f aca="false">CASE_TYPES!I6*ASSUMPTIONS!$C$30</f>
        <v>24</v>
      </c>
      <c r="E6" s="12" t="n">
        <f aca="false">CASE_TYPES!J6</f>
        <v>12</v>
      </c>
      <c r="F6" s="12" t="n">
        <f aca="false">CASE_TYPES!K6</f>
        <v>18</v>
      </c>
      <c r="G6" s="13" t="n">
        <f aca="false">CASE_TYPES!F6+CASE_TYPES!G6+CASE_TYPES!H6</f>
        <v>4.6</v>
      </c>
      <c r="H6" s="13" t="n">
        <f aca="false">G6+ASSUMPTIONS!$C$28*ASSUMPTIONS!$C$29</f>
        <v>4.664</v>
      </c>
      <c r="I6" s="12" t="n">
        <f aca="false">ASSUMPTIONS!$C$16</f>
        <v>30</v>
      </c>
      <c r="J6" s="12" t="n">
        <f aca="false">((B6*ASSUMPTIONS!$C$7+C6*(1-ASSUMPTIONS!$C$7)*ASSUMPTIONS!$C$8)/(ASSUMPTIONS!$C$7+(1-ASSUMPTIONS!$C$7)*ASSUMPTIONS!$C$8)) - D6-E6-F6-I6</f>
        <v>466.876406135866</v>
      </c>
    </row>
    <row r="8" customFormat="false" ht="15" hidden="false" customHeight="true" outlineLevel="0" collapsed="false">
      <c r="A8" s="3" t="s">
        <v>221</v>
      </c>
      <c r="B8" s="12" t="n">
        <f aca="false">CASE_TYPES!B11</f>
        <v>388.25</v>
      </c>
      <c r="C8" s="12" t="n">
        <f aca="false">CASE_TYPES!B12</f>
        <v>359.38</v>
      </c>
      <c r="D8" s="12" t="n">
        <f aca="false">CASE_TYPES!B14*ASSUMPTIONS!$C$30</f>
        <v>16.16</v>
      </c>
      <c r="E8" s="12" t="n">
        <f aca="false">CASE_TYPES!B15</f>
        <v>8.2</v>
      </c>
      <c r="F8" s="12" t="n">
        <f aca="false">CASE_TYPES!B16</f>
        <v>12</v>
      </c>
      <c r="G8" s="13" t="n">
        <f aca="false">CASE_TYPES!B13</f>
        <v>3.32</v>
      </c>
      <c r="H8" s="13" t="n">
        <f aca="false">G8+ASSUMPTIONS!$C$28*ASSUMPTIONS!$C$29</f>
        <v>3.384</v>
      </c>
      <c r="I8" s="12" t="n">
        <f aca="false">ASSUMPTIONS!$C$16</f>
        <v>30</v>
      </c>
      <c r="J8" s="12" t="n">
        <f aca="false">((B8*ASSUMPTIONS!$C$7+C8*(1-ASSUMPTIONS!$C$7)*ASSUMPTIONS!$C$8)/(ASSUMPTIONS!$C$7+(1-ASSUMPTIONS!$C$7)*ASSUMPTIONS!$C$8)) - D8-E8-F8-I8</f>
        <v>315.162804967129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6" min="2" style="1" width="11"/>
  </cols>
  <sheetData>
    <row r="1" customFormat="false" ht="21.75" hidden="false" customHeight="true" outlineLevel="0" collapsed="false">
      <c r="A1" s="2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5" hidden="false" customHeight="true" outlineLevel="0" collapsed="false">
      <c r="A3" s="14" t="s">
        <v>150</v>
      </c>
      <c r="B3" s="15" t="s">
        <v>151</v>
      </c>
      <c r="C3" s="15" t="s">
        <v>152</v>
      </c>
      <c r="D3" s="15" t="s">
        <v>153</v>
      </c>
      <c r="E3" s="15" t="s">
        <v>154</v>
      </c>
      <c r="F3" s="15" t="s">
        <v>155</v>
      </c>
      <c r="G3" s="15" t="s">
        <v>156</v>
      </c>
      <c r="H3" s="15" t="s">
        <v>157</v>
      </c>
      <c r="I3" s="15" t="s">
        <v>158</v>
      </c>
      <c r="J3" s="15" t="s">
        <v>159</v>
      </c>
      <c r="K3" s="15" t="s">
        <v>160</v>
      </c>
      <c r="L3" s="15" t="s">
        <v>161</v>
      </c>
      <c r="M3" s="15" t="s">
        <v>162</v>
      </c>
      <c r="N3" s="15" t="s">
        <v>163</v>
      </c>
      <c r="O3" s="15" t="s">
        <v>164</v>
      </c>
      <c r="P3" s="15" t="s">
        <v>165</v>
      </c>
      <c r="Q3" s="15" t="s">
        <v>166</v>
      </c>
      <c r="R3" s="15" t="s">
        <v>167</v>
      </c>
      <c r="S3" s="15" t="s">
        <v>168</v>
      </c>
      <c r="T3" s="15" t="s">
        <v>169</v>
      </c>
      <c r="U3" s="15" t="s">
        <v>170</v>
      </c>
      <c r="V3" s="15" t="s">
        <v>171</v>
      </c>
      <c r="W3" s="15" t="s">
        <v>172</v>
      </c>
      <c r="X3" s="15" t="s">
        <v>173</v>
      </c>
      <c r="Y3" s="15" t="s">
        <v>174</v>
      </c>
    </row>
    <row r="4" customFormat="false" ht="15" hidden="false" customHeight="true" outlineLevel="0" collapsed="false">
      <c r="A4" s="16" t="s">
        <v>223</v>
      </c>
      <c r="B4" s="13" t="n">
        <f aca="false">0</f>
        <v>0</v>
      </c>
      <c r="C4" s="13" t="n">
        <f aca="false">B9</f>
        <v>68.1096383833759</v>
      </c>
      <c r="D4" s="13" t="n">
        <f aca="false">C9</f>
        <v>136.376066912992</v>
      </c>
      <c r="E4" s="13" t="n">
        <f aca="false">D9</f>
        <v>204.801898757952</v>
      </c>
      <c r="F4" s="13" t="n">
        <f aca="false">E9</f>
        <v>273.389794124403</v>
      </c>
      <c r="G4" s="13" t="n">
        <f aca="false">F9</f>
        <v>342.142461144016</v>
      </c>
      <c r="H4" s="13" t="n">
        <f aca="false">G9</f>
        <v>411.062656779705</v>
      </c>
      <c r="I4" s="13" t="n">
        <f aca="false">H9</f>
        <v>480.153187748942</v>
      </c>
      <c r="J4" s="13" t="n">
        <f aca="false">I9</f>
        <v>549.416911465</v>
      </c>
      <c r="K4" s="13" t="n">
        <f aca="false">J9</f>
        <v>618.856736996483</v>
      </c>
      <c r="L4" s="13" t="n">
        <f aca="false">K9</f>
        <v>688.475626045503</v>
      </c>
      <c r="M4" s="13" t="n">
        <f aca="false">L9</f>
        <v>758.276593944875</v>
      </c>
      <c r="N4" s="13" t="n">
        <f aca="false">M9</f>
        <v>828.262710674693</v>
      </c>
      <c r="O4" s="13" t="n">
        <f aca="false">N9</f>
        <v>898.437101898683</v>
      </c>
      <c r="P4" s="13" t="n">
        <f aca="false">O9</f>
        <v>968.802950020718</v>
      </c>
      <c r="Q4" s="13" t="n">
        <f aca="false">P9</f>
        <v>1039.36349526189</v>
      </c>
      <c r="R4" s="13" t="n">
        <f aca="false">Q9</f>
        <v>1110.12203675854</v>
      </c>
      <c r="S4" s="13" t="n">
        <f aca="false">R9</f>
        <v>1181.08193368167</v>
      </c>
      <c r="T4" s="13" t="n">
        <f aca="false">S9</f>
        <v>1252.24660637819</v>
      </c>
      <c r="U4" s="13" t="n">
        <f aca="false">T9</f>
        <v>1323.61953753429</v>
      </c>
      <c r="V4" s="13" t="n">
        <f aca="false">U9</f>
        <v>1395.20427336162</v>
      </c>
      <c r="W4" s="13" t="n">
        <f aca="false">V9</f>
        <v>1467.00442480647</v>
      </c>
      <c r="X4" s="13" t="n">
        <f aca="false">W9</f>
        <v>1539.02366878261</v>
      </c>
      <c r="Y4" s="13" t="n">
        <f aca="false">X9</f>
        <v>1611.26574942808</v>
      </c>
    </row>
    <row r="5" customFormat="false" ht="15" hidden="false" customHeight="true" outlineLevel="0" collapsed="false">
      <c r="A5" s="16" t="s">
        <v>201</v>
      </c>
      <c r="B5" s="13" t="n">
        <f aca="false">FUNNEL_24M!B20</f>
        <v>108.446517816</v>
      </c>
      <c r="C5" s="13" t="n">
        <f aca="false">FUNNEL_24M!C20</f>
        <v>108.60330796224</v>
      </c>
      <c r="D5" s="13" t="n">
        <f aca="false">FUNNEL_24M!D20</f>
        <v>108.762711277584</v>
      </c>
      <c r="E5" s="13" t="n">
        <f aca="false">FUNNEL_24M!E20</f>
        <v>108.924774799076</v>
      </c>
      <c r="F5" s="13" t="n">
        <f aca="false">FUNNEL_24M!F20</f>
        <v>109.089546452237</v>
      </c>
      <c r="G5" s="13" t="n">
        <f aca="false">FUNNEL_24M!G20</f>
        <v>109.257075068313</v>
      </c>
      <c r="H5" s="13" t="n">
        <f aca="false">FUNNEL_24M!H20</f>
        <v>109.427410401861</v>
      </c>
      <c r="I5" s="13" t="n">
        <f aca="false">FUNNEL_24M!I20</f>
        <v>109.600603148682</v>
      </c>
      <c r="J5" s="13" t="n">
        <f aca="false">FUNNEL_24M!J20</f>
        <v>109.776704964107</v>
      </c>
      <c r="K5" s="13" t="n">
        <f aca="false">FUNNEL_24M!K20</f>
        <v>109.955768481645</v>
      </c>
      <c r="L5" s="13" t="n">
        <f aca="false">FUNNEL_24M!L20</f>
        <v>110.137847331996</v>
      </c>
      <c r="M5" s="13" t="n">
        <f aca="false">FUNNEL_24M!M20</f>
        <v>110.322996162442</v>
      </c>
      <c r="N5" s="13" t="n">
        <f aca="false">FUNNEL_24M!N20</f>
        <v>110.511270656614</v>
      </c>
      <c r="O5" s="13" t="n">
        <f aca="false">FUNNEL_24M!O20</f>
        <v>110.702727554659</v>
      </c>
      <c r="P5" s="13" t="n">
        <f aca="false">FUNNEL_24M!P20</f>
        <v>110.897424673795</v>
      </c>
      <c r="Q5" s="13" t="n">
        <f aca="false">FUNNEL_24M!Q20</f>
        <v>111.095420929273</v>
      </c>
      <c r="R5" s="13" t="n">
        <f aca="false">FUNNEL_24M!R20</f>
        <v>111.296776355761</v>
      </c>
      <c r="S5" s="13" t="n">
        <f aca="false">FUNNEL_24M!S20</f>
        <v>111.501552129138</v>
      </c>
      <c r="T5" s="13" t="n">
        <f aca="false">FUNNEL_24M!T20</f>
        <v>111.709810588724</v>
      </c>
      <c r="U5" s="13" t="n">
        <f aca="false">FUNNEL_24M!U20</f>
        <v>111.921615259953</v>
      </c>
      <c r="V5" s="13" t="n">
        <f aca="false">FUNNEL_24M!V20</f>
        <v>112.137030877481</v>
      </c>
      <c r="W5" s="13" t="n">
        <f aca="false">FUNNEL_24M!W20</f>
        <v>112.356123408763</v>
      </c>
      <c r="X5" s="13" t="n">
        <f aca="false">FUNNEL_24M!X20</f>
        <v>112.578960078087</v>
      </c>
      <c r="Y5" s="13" t="n">
        <f aca="false">FUNNEL_24M!Y20</f>
        <v>112.80560939109</v>
      </c>
    </row>
    <row r="6" customFormat="false" ht="15" hidden="false" customHeight="true" outlineLevel="0" collapsed="false">
      <c r="A6" s="16" t="s">
        <v>224</v>
      </c>
      <c r="B6" s="13" t="n">
        <f aca="false">B4+B5</f>
        <v>108.446517816</v>
      </c>
      <c r="C6" s="13" t="n">
        <f aca="false">C4+C5</f>
        <v>176.712946345616</v>
      </c>
      <c r="D6" s="13" t="n">
        <f aca="false">D4+D5</f>
        <v>245.138778190576</v>
      </c>
      <c r="E6" s="13" t="n">
        <f aca="false">E4+E5</f>
        <v>313.726673557028</v>
      </c>
      <c r="F6" s="13" t="n">
        <f aca="false">F4+F5</f>
        <v>382.47934057664</v>
      </c>
      <c r="G6" s="13" t="n">
        <f aca="false">G4+G5</f>
        <v>451.399536212329</v>
      </c>
      <c r="H6" s="13" t="n">
        <f aca="false">H4+H5</f>
        <v>520.490067181566</v>
      </c>
      <c r="I6" s="13" t="n">
        <f aca="false">I4+I5</f>
        <v>589.753790897624</v>
      </c>
      <c r="J6" s="13" t="n">
        <f aca="false">J4+J5</f>
        <v>659.193616429107</v>
      </c>
      <c r="K6" s="13" t="n">
        <f aca="false">K4+K5</f>
        <v>728.812505478127</v>
      </c>
      <c r="L6" s="13" t="n">
        <f aca="false">L4+L5</f>
        <v>798.613473377499</v>
      </c>
      <c r="M6" s="13" t="n">
        <f aca="false">M4+M5</f>
        <v>868.599590107317</v>
      </c>
      <c r="N6" s="13" t="n">
        <f aca="false">N4+N5</f>
        <v>938.773981331307</v>
      </c>
      <c r="O6" s="13" t="n">
        <f aca="false">O4+O5</f>
        <v>1009.13982945334</v>
      </c>
      <c r="P6" s="13" t="n">
        <f aca="false">P4+P5</f>
        <v>1079.70037469451</v>
      </c>
      <c r="Q6" s="13" t="n">
        <f aca="false">Q4+Q5</f>
        <v>1150.45891619116</v>
      </c>
      <c r="R6" s="13" t="n">
        <f aca="false">R4+R5</f>
        <v>1221.4188131143</v>
      </c>
      <c r="S6" s="13" t="n">
        <f aca="false">S4+S5</f>
        <v>1292.58348581081</v>
      </c>
      <c r="T6" s="13" t="n">
        <f aca="false">T4+T5</f>
        <v>1363.95641696691</v>
      </c>
      <c r="U6" s="13" t="n">
        <f aca="false">U4+U5</f>
        <v>1435.54115279424</v>
      </c>
      <c r="V6" s="13" t="n">
        <f aca="false">V4+V5</f>
        <v>1507.3413042391</v>
      </c>
      <c r="W6" s="13" t="n">
        <f aca="false">W4+W5</f>
        <v>1579.36054821524</v>
      </c>
      <c r="X6" s="13" t="n">
        <f aca="false">X4+X5</f>
        <v>1651.6026288607</v>
      </c>
      <c r="Y6" s="13" t="n">
        <f aca="false">Y4+Y5</f>
        <v>1724.07135881916</v>
      </c>
    </row>
    <row r="7" customFormat="false" ht="15" hidden="false" customHeight="true" outlineLevel="0" collapsed="false">
      <c r="A7" s="16" t="s">
        <v>225</v>
      </c>
      <c r="B7" s="13" t="n">
        <f aca="false">CAPACITY_24M!B12</f>
        <v>40.3368794326241</v>
      </c>
      <c r="C7" s="13" t="n">
        <f aca="false">CAPACITY_24M!C12</f>
        <v>40.3368794326241</v>
      </c>
      <c r="D7" s="13" t="n">
        <f aca="false">CAPACITY_24M!D12</f>
        <v>40.3368794326241</v>
      </c>
      <c r="E7" s="13" t="n">
        <f aca="false">CAPACITY_24M!E12</f>
        <v>40.3368794326241</v>
      </c>
      <c r="F7" s="13" t="n">
        <f aca="false">CAPACITY_24M!F12</f>
        <v>40.3368794326241</v>
      </c>
      <c r="G7" s="13" t="n">
        <f aca="false">CAPACITY_24M!G12</f>
        <v>40.3368794326241</v>
      </c>
      <c r="H7" s="13" t="n">
        <f aca="false">CAPACITY_24M!H12</f>
        <v>40.3368794326241</v>
      </c>
      <c r="I7" s="13" t="n">
        <f aca="false">CAPACITY_24M!I12</f>
        <v>40.3368794326241</v>
      </c>
      <c r="J7" s="13" t="n">
        <f aca="false">CAPACITY_24M!J12</f>
        <v>40.3368794326241</v>
      </c>
      <c r="K7" s="13" t="n">
        <f aca="false">CAPACITY_24M!K12</f>
        <v>40.3368794326241</v>
      </c>
      <c r="L7" s="13" t="n">
        <f aca="false">CAPACITY_24M!L12</f>
        <v>40.3368794326241</v>
      </c>
      <c r="M7" s="13" t="n">
        <f aca="false">CAPACITY_24M!M12</f>
        <v>40.3368794326241</v>
      </c>
      <c r="N7" s="13" t="n">
        <f aca="false">CAPACITY_24M!N12</f>
        <v>40.3368794326241</v>
      </c>
      <c r="O7" s="13" t="n">
        <f aca="false">CAPACITY_24M!O12</f>
        <v>40.3368794326241</v>
      </c>
      <c r="P7" s="13" t="n">
        <f aca="false">CAPACITY_24M!P12</f>
        <v>40.3368794326241</v>
      </c>
      <c r="Q7" s="13" t="n">
        <f aca="false">CAPACITY_24M!Q12</f>
        <v>40.3368794326241</v>
      </c>
      <c r="R7" s="13" t="n">
        <f aca="false">CAPACITY_24M!R12</f>
        <v>40.3368794326241</v>
      </c>
      <c r="S7" s="13" t="n">
        <f aca="false">CAPACITY_24M!S12</f>
        <v>40.3368794326241</v>
      </c>
      <c r="T7" s="13" t="n">
        <f aca="false">CAPACITY_24M!T12</f>
        <v>40.3368794326241</v>
      </c>
      <c r="U7" s="13" t="n">
        <f aca="false">CAPACITY_24M!U12</f>
        <v>40.3368794326241</v>
      </c>
      <c r="V7" s="13" t="n">
        <f aca="false">CAPACITY_24M!V12</f>
        <v>40.3368794326241</v>
      </c>
      <c r="W7" s="13" t="n">
        <f aca="false">CAPACITY_24M!W12</f>
        <v>40.3368794326241</v>
      </c>
      <c r="X7" s="13" t="n">
        <f aca="false">CAPACITY_24M!X12</f>
        <v>40.3368794326241</v>
      </c>
      <c r="Y7" s="13" t="n">
        <f aca="false">CAPACITY_24M!Y12</f>
        <v>40.3368794326241</v>
      </c>
    </row>
    <row r="8" customFormat="false" ht="15" hidden="false" customHeight="true" outlineLevel="0" collapsed="false">
      <c r="A8" s="3" t="s">
        <v>183</v>
      </c>
      <c r="B8" s="13" t="n">
        <f aca="false">MIN(B6,B7)</f>
        <v>40.3368794326241</v>
      </c>
      <c r="C8" s="13" t="n">
        <f aca="false">MIN(C6,C7)</f>
        <v>40.3368794326241</v>
      </c>
      <c r="D8" s="13" t="n">
        <f aca="false">MIN(D6,D7)</f>
        <v>40.3368794326241</v>
      </c>
      <c r="E8" s="13" t="n">
        <f aca="false">MIN(E6,E7)</f>
        <v>40.3368794326241</v>
      </c>
      <c r="F8" s="13" t="n">
        <f aca="false">MIN(F6,F7)</f>
        <v>40.3368794326241</v>
      </c>
      <c r="G8" s="13" t="n">
        <f aca="false">MIN(G6,G7)</f>
        <v>40.3368794326241</v>
      </c>
      <c r="H8" s="13" t="n">
        <f aca="false">MIN(H6,H7)</f>
        <v>40.3368794326241</v>
      </c>
      <c r="I8" s="13" t="n">
        <f aca="false">MIN(I6,I7)</f>
        <v>40.3368794326241</v>
      </c>
      <c r="J8" s="13" t="n">
        <f aca="false">MIN(J6,J7)</f>
        <v>40.3368794326241</v>
      </c>
      <c r="K8" s="13" t="n">
        <f aca="false">MIN(K6,K7)</f>
        <v>40.3368794326241</v>
      </c>
      <c r="L8" s="13" t="n">
        <f aca="false">MIN(L6,L7)</f>
        <v>40.3368794326241</v>
      </c>
      <c r="M8" s="13" t="n">
        <f aca="false">MIN(M6,M7)</f>
        <v>40.3368794326241</v>
      </c>
      <c r="N8" s="13" t="n">
        <f aca="false">MIN(N6,N7)</f>
        <v>40.3368794326241</v>
      </c>
      <c r="O8" s="13" t="n">
        <f aca="false">MIN(O6,O7)</f>
        <v>40.3368794326241</v>
      </c>
      <c r="P8" s="13" t="n">
        <f aca="false">MIN(P6,P7)</f>
        <v>40.3368794326241</v>
      </c>
      <c r="Q8" s="13" t="n">
        <f aca="false">MIN(Q6,Q7)</f>
        <v>40.3368794326241</v>
      </c>
      <c r="R8" s="13" t="n">
        <f aca="false">MIN(R6,R7)</f>
        <v>40.3368794326241</v>
      </c>
      <c r="S8" s="13" t="n">
        <f aca="false">MIN(S6,S7)</f>
        <v>40.3368794326241</v>
      </c>
      <c r="T8" s="13" t="n">
        <f aca="false">MIN(T6,T7)</f>
        <v>40.3368794326241</v>
      </c>
      <c r="U8" s="13" t="n">
        <f aca="false">MIN(U6,U7)</f>
        <v>40.3368794326241</v>
      </c>
      <c r="V8" s="13" t="n">
        <f aca="false">MIN(V6,V7)</f>
        <v>40.3368794326241</v>
      </c>
      <c r="W8" s="13" t="n">
        <f aca="false">MIN(W6,W7)</f>
        <v>40.3368794326241</v>
      </c>
      <c r="X8" s="13" t="n">
        <f aca="false">MIN(X6,X7)</f>
        <v>40.3368794326241</v>
      </c>
      <c r="Y8" s="13" t="n">
        <f aca="false">MIN(Y6,Y7)</f>
        <v>40.3368794326241</v>
      </c>
    </row>
    <row r="9" customFormat="false" ht="15" hidden="false" customHeight="true" outlineLevel="0" collapsed="false">
      <c r="A9" s="3" t="s">
        <v>226</v>
      </c>
      <c r="B9" s="13" t="n">
        <f aca="false">MAX(0,B6-B8)</f>
        <v>68.1096383833759</v>
      </c>
      <c r="C9" s="13" t="n">
        <f aca="false">MAX(0,C6-C8)</f>
        <v>136.376066912992</v>
      </c>
      <c r="D9" s="13" t="n">
        <f aca="false">MAX(0,D6-D8)</f>
        <v>204.801898757952</v>
      </c>
      <c r="E9" s="13" t="n">
        <f aca="false">MAX(0,E6-E8)</f>
        <v>273.389794124403</v>
      </c>
      <c r="F9" s="13" t="n">
        <f aca="false">MAX(0,F6-F8)</f>
        <v>342.142461144016</v>
      </c>
      <c r="G9" s="13" t="n">
        <f aca="false">MAX(0,G6-G8)</f>
        <v>411.062656779705</v>
      </c>
      <c r="H9" s="13" t="n">
        <f aca="false">MAX(0,H6-H8)</f>
        <v>480.153187748942</v>
      </c>
      <c r="I9" s="13" t="n">
        <f aca="false">MAX(0,I6-I8)</f>
        <v>549.416911465</v>
      </c>
      <c r="J9" s="13" t="n">
        <f aca="false">MAX(0,J6-J8)</f>
        <v>618.856736996483</v>
      </c>
      <c r="K9" s="13" t="n">
        <f aca="false">MAX(0,K6-K8)</f>
        <v>688.475626045503</v>
      </c>
      <c r="L9" s="13" t="n">
        <f aca="false">MAX(0,L6-L8)</f>
        <v>758.276593944875</v>
      </c>
      <c r="M9" s="13" t="n">
        <f aca="false">MAX(0,M6-M8)</f>
        <v>828.262710674693</v>
      </c>
      <c r="N9" s="13" t="n">
        <f aca="false">MAX(0,N6-N8)</f>
        <v>898.437101898683</v>
      </c>
      <c r="O9" s="13" t="n">
        <f aca="false">MAX(0,O6-O8)</f>
        <v>968.802950020718</v>
      </c>
      <c r="P9" s="13" t="n">
        <f aca="false">MAX(0,P6-P8)</f>
        <v>1039.36349526189</v>
      </c>
      <c r="Q9" s="13" t="n">
        <f aca="false">MAX(0,Q6-Q8)</f>
        <v>1110.12203675854</v>
      </c>
      <c r="R9" s="13" t="n">
        <f aca="false">MAX(0,R6-R8)</f>
        <v>1181.08193368167</v>
      </c>
      <c r="S9" s="13" t="n">
        <f aca="false">MAX(0,S6-S8)</f>
        <v>1252.24660637819</v>
      </c>
      <c r="T9" s="13" t="n">
        <f aca="false">MAX(0,T6-T8)</f>
        <v>1323.61953753429</v>
      </c>
      <c r="U9" s="13" t="n">
        <f aca="false">MAX(0,U6-U8)</f>
        <v>1395.20427336162</v>
      </c>
      <c r="V9" s="13" t="n">
        <f aca="false">MAX(0,V6-V8)</f>
        <v>1467.00442480647</v>
      </c>
      <c r="W9" s="13" t="n">
        <f aca="false">MAX(0,W6-W8)</f>
        <v>1539.02366878261</v>
      </c>
      <c r="X9" s="13" t="n">
        <f aca="false">MAX(0,X6-X8)</f>
        <v>1611.26574942808</v>
      </c>
      <c r="Y9" s="13" t="n">
        <f aca="false">MAX(0,Y6-Y8)</f>
        <v>1683.73447938654</v>
      </c>
    </row>
    <row r="11" customFormat="false" ht="15" hidden="false" customHeight="true" outlineLevel="0" collapsed="false">
      <c r="A11" s="3" t="s">
        <v>227</v>
      </c>
      <c r="B11" s="12" t="n">
        <f aca="false">IF(FUNNEL_24M!B20=0,0,B8*(FUNNEL_24M!B26/FUNNEL_24M!B20))</f>
        <v>15389.4393847557</v>
      </c>
      <c r="C11" s="12" t="n">
        <f aca="false">IF(FUNNEL_24M!C20=0,0,C8*(FUNNEL_24M!C26/FUNNEL_24M!C20))</f>
        <v>15389.4393847557</v>
      </c>
      <c r="D11" s="12" t="n">
        <f aca="false">IF(FUNNEL_24M!D20=0,0,D8*(FUNNEL_24M!D26/FUNNEL_24M!D20))</f>
        <v>15389.4393847557</v>
      </c>
      <c r="E11" s="12" t="n">
        <f aca="false">IF(FUNNEL_24M!E20=0,0,E8*(FUNNEL_24M!E26/FUNNEL_24M!E20))</f>
        <v>15389.4393847557</v>
      </c>
      <c r="F11" s="12" t="n">
        <f aca="false">IF(FUNNEL_24M!F20=0,0,F8*(FUNNEL_24M!F26/FUNNEL_24M!F20))</f>
        <v>15389.4393847557</v>
      </c>
      <c r="G11" s="12" t="n">
        <f aca="false">IF(FUNNEL_24M!G20=0,0,G8*(FUNNEL_24M!G26/FUNNEL_24M!G20))</f>
        <v>15389.4393847557</v>
      </c>
      <c r="H11" s="12" t="n">
        <f aca="false">IF(FUNNEL_24M!H20=0,0,H8*(FUNNEL_24M!H26/FUNNEL_24M!H20))</f>
        <v>15389.4393847557</v>
      </c>
      <c r="I11" s="12" t="n">
        <f aca="false">IF(FUNNEL_24M!I20=0,0,I8*(FUNNEL_24M!I26/FUNNEL_24M!I20))</f>
        <v>15389.4393847557</v>
      </c>
      <c r="J11" s="12" t="n">
        <f aca="false">IF(FUNNEL_24M!J20=0,0,J8*(FUNNEL_24M!J26/FUNNEL_24M!J20))</f>
        <v>15389.4393847557</v>
      </c>
      <c r="K11" s="12" t="n">
        <f aca="false">IF(FUNNEL_24M!K20=0,0,K8*(FUNNEL_24M!K26/FUNNEL_24M!K20))</f>
        <v>15389.4393847557</v>
      </c>
      <c r="L11" s="12" t="n">
        <f aca="false">IF(FUNNEL_24M!L20=0,0,L8*(FUNNEL_24M!L26/FUNNEL_24M!L20))</f>
        <v>15389.4393847557</v>
      </c>
      <c r="M11" s="12" t="n">
        <f aca="false">IF(FUNNEL_24M!M20=0,0,M8*(FUNNEL_24M!M26/FUNNEL_24M!M20))</f>
        <v>15389.4393847557</v>
      </c>
      <c r="N11" s="12" t="n">
        <f aca="false">IF(FUNNEL_24M!N20=0,0,N8*(FUNNEL_24M!N26/FUNNEL_24M!N20))</f>
        <v>15389.4393847557</v>
      </c>
      <c r="O11" s="12" t="n">
        <f aca="false">IF(FUNNEL_24M!O20=0,0,O8*(FUNNEL_24M!O26/FUNNEL_24M!O20))</f>
        <v>15389.4393847557</v>
      </c>
      <c r="P11" s="12" t="n">
        <f aca="false">IF(FUNNEL_24M!P20=0,0,P8*(FUNNEL_24M!P26/FUNNEL_24M!P20))</f>
        <v>15389.4393847557</v>
      </c>
      <c r="Q11" s="12" t="n">
        <f aca="false">IF(FUNNEL_24M!Q20=0,0,Q8*(FUNNEL_24M!Q26/FUNNEL_24M!Q20))</f>
        <v>15389.4393847557</v>
      </c>
      <c r="R11" s="12" t="n">
        <f aca="false">IF(FUNNEL_24M!R20=0,0,R8*(FUNNEL_24M!R26/FUNNEL_24M!R20))</f>
        <v>15389.4393847557</v>
      </c>
      <c r="S11" s="12" t="n">
        <f aca="false">IF(FUNNEL_24M!S20=0,0,S8*(FUNNEL_24M!S26/FUNNEL_24M!S20))</f>
        <v>15389.4393847557</v>
      </c>
      <c r="T11" s="12" t="n">
        <f aca="false">IF(FUNNEL_24M!T20=0,0,T8*(FUNNEL_24M!T26/FUNNEL_24M!T20))</f>
        <v>15389.4393847557</v>
      </c>
      <c r="U11" s="12" t="n">
        <f aca="false">IF(FUNNEL_24M!U20=0,0,U8*(FUNNEL_24M!U26/FUNNEL_24M!U20))</f>
        <v>15389.4393847557</v>
      </c>
      <c r="V11" s="12" t="n">
        <f aca="false">IF(FUNNEL_24M!V20=0,0,V8*(FUNNEL_24M!V26/FUNNEL_24M!V20))</f>
        <v>15389.4393847557</v>
      </c>
      <c r="W11" s="12" t="n">
        <f aca="false">IF(FUNNEL_24M!W20=0,0,W8*(FUNNEL_24M!W26/FUNNEL_24M!W20))</f>
        <v>15389.4393847557</v>
      </c>
      <c r="X11" s="12" t="n">
        <f aca="false">IF(FUNNEL_24M!X20=0,0,X8*(FUNNEL_24M!X26/FUNNEL_24M!X20))</f>
        <v>15389.4393847557</v>
      </c>
      <c r="Y11" s="12" t="n">
        <f aca="false">IF(FUNNEL_24M!Y20=0,0,Y8*(FUNNEL_24M!Y26/FUNNEL_24M!Y20))</f>
        <v>15389.4393847557</v>
      </c>
    </row>
    <row r="12" customFormat="false" ht="15" hidden="false" customHeight="true" outlineLevel="0" collapsed="false">
      <c r="A12" s="16" t="s">
        <v>214</v>
      </c>
      <c r="B12" s="12" t="n">
        <f aca="false">B8*CASE_TYPES!$B$14*ASSUMPTIONS!$C$30</f>
        <v>651.843971631206</v>
      </c>
      <c r="C12" s="12" t="n">
        <f aca="false">C8*CASE_TYPES!$B$14*ASSUMPTIONS!$C$30</f>
        <v>651.843971631206</v>
      </c>
      <c r="D12" s="12" t="n">
        <f aca="false">D8*CASE_TYPES!$B$14*ASSUMPTIONS!$C$30</f>
        <v>651.843971631206</v>
      </c>
      <c r="E12" s="12" t="n">
        <f aca="false">E8*CASE_TYPES!$B$14*ASSUMPTIONS!$C$30</f>
        <v>651.843971631206</v>
      </c>
      <c r="F12" s="12" t="n">
        <f aca="false">F8*CASE_TYPES!$B$14*ASSUMPTIONS!$C$30</f>
        <v>651.843971631206</v>
      </c>
      <c r="G12" s="12" t="n">
        <f aca="false">G8*CASE_TYPES!$B$14*ASSUMPTIONS!$C$30</f>
        <v>651.843971631206</v>
      </c>
      <c r="H12" s="12" t="n">
        <f aca="false">H8*CASE_TYPES!$B$14*ASSUMPTIONS!$C$30</f>
        <v>651.843971631206</v>
      </c>
      <c r="I12" s="12" t="n">
        <f aca="false">I8*CASE_TYPES!$B$14*ASSUMPTIONS!$C$30</f>
        <v>651.843971631206</v>
      </c>
      <c r="J12" s="12" t="n">
        <f aca="false">J8*CASE_TYPES!$B$14*ASSUMPTIONS!$C$30</f>
        <v>651.843971631206</v>
      </c>
      <c r="K12" s="12" t="n">
        <f aca="false">K8*CASE_TYPES!$B$14*ASSUMPTIONS!$C$30</f>
        <v>651.843971631206</v>
      </c>
      <c r="L12" s="12" t="n">
        <f aca="false">L8*CASE_TYPES!$B$14*ASSUMPTIONS!$C$30</f>
        <v>651.843971631206</v>
      </c>
      <c r="M12" s="12" t="n">
        <f aca="false">M8*CASE_TYPES!$B$14*ASSUMPTIONS!$C$30</f>
        <v>651.843971631206</v>
      </c>
      <c r="N12" s="12" t="n">
        <f aca="false">N8*CASE_TYPES!$B$14*ASSUMPTIONS!$C$30</f>
        <v>651.843971631206</v>
      </c>
      <c r="O12" s="12" t="n">
        <f aca="false">O8*CASE_TYPES!$B$14*ASSUMPTIONS!$C$30</f>
        <v>651.843971631206</v>
      </c>
      <c r="P12" s="12" t="n">
        <f aca="false">P8*CASE_TYPES!$B$14*ASSUMPTIONS!$C$30</f>
        <v>651.843971631206</v>
      </c>
      <c r="Q12" s="12" t="n">
        <f aca="false">Q8*CASE_TYPES!$B$14*ASSUMPTIONS!$C$30</f>
        <v>651.843971631206</v>
      </c>
      <c r="R12" s="12" t="n">
        <f aca="false">R8*CASE_TYPES!$B$14*ASSUMPTIONS!$C$30</f>
        <v>651.843971631206</v>
      </c>
      <c r="S12" s="12" t="n">
        <f aca="false">S8*CASE_TYPES!$B$14*ASSUMPTIONS!$C$30</f>
        <v>651.843971631206</v>
      </c>
      <c r="T12" s="12" t="n">
        <f aca="false">T8*CASE_TYPES!$B$14*ASSUMPTIONS!$C$30</f>
        <v>651.843971631206</v>
      </c>
      <c r="U12" s="12" t="n">
        <f aca="false">U8*CASE_TYPES!$B$14*ASSUMPTIONS!$C$30</f>
        <v>651.843971631206</v>
      </c>
      <c r="V12" s="12" t="n">
        <f aca="false">V8*CASE_TYPES!$B$14*ASSUMPTIONS!$C$30</f>
        <v>651.843971631206</v>
      </c>
      <c r="W12" s="12" t="n">
        <f aca="false">W8*CASE_TYPES!$B$14*ASSUMPTIONS!$C$30</f>
        <v>651.843971631206</v>
      </c>
      <c r="X12" s="12" t="n">
        <f aca="false">X8*CASE_TYPES!$B$14*ASSUMPTIONS!$C$30</f>
        <v>651.843971631206</v>
      </c>
      <c r="Y12" s="12" t="n">
        <f aca="false">Y8*CASE_TYPES!$B$14*ASSUMPTIONS!$C$30</f>
        <v>651.843971631206</v>
      </c>
    </row>
    <row r="13" customFormat="false" ht="15" hidden="false" customHeight="true" outlineLevel="0" collapsed="false">
      <c r="A13" s="16" t="s">
        <v>228</v>
      </c>
      <c r="B13" s="12" t="n">
        <f aca="false">B8*CASE_TYPES!$B$15</f>
        <v>330.762411347518</v>
      </c>
      <c r="C13" s="12" t="n">
        <f aca="false">C8*CASE_TYPES!$B$15</f>
        <v>330.762411347518</v>
      </c>
      <c r="D13" s="12" t="n">
        <f aca="false">D8*CASE_TYPES!$B$15</f>
        <v>330.762411347518</v>
      </c>
      <c r="E13" s="12" t="n">
        <f aca="false">E8*CASE_TYPES!$B$15</f>
        <v>330.762411347518</v>
      </c>
      <c r="F13" s="12" t="n">
        <f aca="false">F8*CASE_TYPES!$B$15</f>
        <v>330.762411347518</v>
      </c>
      <c r="G13" s="12" t="n">
        <f aca="false">G8*CASE_TYPES!$B$15</f>
        <v>330.762411347518</v>
      </c>
      <c r="H13" s="12" t="n">
        <f aca="false">H8*CASE_TYPES!$B$15</f>
        <v>330.762411347518</v>
      </c>
      <c r="I13" s="12" t="n">
        <f aca="false">I8*CASE_TYPES!$B$15</f>
        <v>330.762411347518</v>
      </c>
      <c r="J13" s="12" t="n">
        <f aca="false">J8*CASE_TYPES!$B$15</f>
        <v>330.762411347518</v>
      </c>
      <c r="K13" s="12" t="n">
        <f aca="false">K8*CASE_TYPES!$B$15</f>
        <v>330.762411347518</v>
      </c>
      <c r="L13" s="12" t="n">
        <f aca="false">L8*CASE_TYPES!$B$15</f>
        <v>330.762411347518</v>
      </c>
      <c r="M13" s="12" t="n">
        <f aca="false">M8*CASE_TYPES!$B$15</f>
        <v>330.762411347518</v>
      </c>
      <c r="N13" s="12" t="n">
        <f aca="false">N8*CASE_TYPES!$B$15</f>
        <v>330.762411347518</v>
      </c>
      <c r="O13" s="12" t="n">
        <f aca="false">O8*CASE_TYPES!$B$15</f>
        <v>330.762411347518</v>
      </c>
      <c r="P13" s="12" t="n">
        <f aca="false">P8*CASE_TYPES!$B$15</f>
        <v>330.762411347518</v>
      </c>
      <c r="Q13" s="12" t="n">
        <f aca="false">Q8*CASE_TYPES!$B$15</f>
        <v>330.762411347518</v>
      </c>
      <c r="R13" s="12" t="n">
        <f aca="false">R8*CASE_TYPES!$B$15</f>
        <v>330.762411347518</v>
      </c>
      <c r="S13" s="12" t="n">
        <f aca="false">S8*CASE_TYPES!$B$15</f>
        <v>330.762411347518</v>
      </c>
      <c r="T13" s="12" t="n">
        <f aca="false">T8*CASE_TYPES!$B$15</f>
        <v>330.762411347518</v>
      </c>
      <c r="U13" s="12" t="n">
        <f aca="false">U8*CASE_TYPES!$B$15</f>
        <v>330.762411347518</v>
      </c>
      <c r="V13" s="12" t="n">
        <f aca="false">V8*CASE_TYPES!$B$15</f>
        <v>330.762411347518</v>
      </c>
      <c r="W13" s="12" t="n">
        <f aca="false">W8*CASE_TYPES!$B$15</f>
        <v>330.762411347518</v>
      </c>
      <c r="X13" s="12" t="n">
        <f aca="false">X8*CASE_TYPES!$B$15</f>
        <v>330.762411347518</v>
      </c>
      <c r="Y13" s="12" t="n">
        <f aca="false">Y8*CASE_TYPES!$B$15</f>
        <v>330.762411347518</v>
      </c>
    </row>
    <row r="14" customFormat="false" ht="15" hidden="false" customHeight="true" outlineLevel="0" collapsed="false">
      <c r="A14" s="16" t="s">
        <v>229</v>
      </c>
      <c r="B14" s="12" t="n">
        <f aca="false">B8*CASE_TYPES!$B$16</f>
        <v>484.042553191489</v>
      </c>
      <c r="C14" s="12" t="n">
        <f aca="false">C8*CASE_TYPES!$B$16</f>
        <v>484.042553191489</v>
      </c>
      <c r="D14" s="12" t="n">
        <f aca="false">D8*CASE_TYPES!$B$16</f>
        <v>484.042553191489</v>
      </c>
      <c r="E14" s="12" t="n">
        <f aca="false">E8*CASE_TYPES!$B$16</f>
        <v>484.042553191489</v>
      </c>
      <c r="F14" s="12" t="n">
        <f aca="false">F8*CASE_TYPES!$B$16</f>
        <v>484.042553191489</v>
      </c>
      <c r="G14" s="12" t="n">
        <f aca="false">G8*CASE_TYPES!$B$16</f>
        <v>484.042553191489</v>
      </c>
      <c r="H14" s="12" t="n">
        <f aca="false">H8*CASE_TYPES!$B$16</f>
        <v>484.042553191489</v>
      </c>
      <c r="I14" s="12" t="n">
        <f aca="false">I8*CASE_TYPES!$B$16</f>
        <v>484.042553191489</v>
      </c>
      <c r="J14" s="12" t="n">
        <f aca="false">J8*CASE_TYPES!$B$16</f>
        <v>484.042553191489</v>
      </c>
      <c r="K14" s="12" t="n">
        <f aca="false">K8*CASE_TYPES!$B$16</f>
        <v>484.042553191489</v>
      </c>
      <c r="L14" s="12" t="n">
        <f aca="false">L8*CASE_TYPES!$B$16</f>
        <v>484.042553191489</v>
      </c>
      <c r="M14" s="12" t="n">
        <f aca="false">M8*CASE_TYPES!$B$16</f>
        <v>484.042553191489</v>
      </c>
      <c r="N14" s="12" t="n">
        <f aca="false">N8*CASE_TYPES!$B$16</f>
        <v>484.042553191489</v>
      </c>
      <c r="O14" s="12" t="n">
        <f aca="false">O8*CASE_TYPES!$B$16</f>
        <v>484.042553191489</v>
      </c>
      <c r="P14" s="12" t="n">
        <f aca="false">P8*CASE_TYPES!$B$16</f>
        <v>484.042553191489</v>
      </c>
      <c r="Q14" s="12" t="n">
        <f aca="false">Q8*CASE_TYPES!$B$16</f>
        <v>484.042553191489</v>
      </c>
      <c r="R14" s="12" t="n">
        <f aca="false">R8*CASE_TYPES!$B$16</f>
        <v>484.042553191489</v>
      </c>
      <c r="S14" s="12" t="n">
        <f aca="false">S8*CASE_TYPES!$B$16</f>
        <v>484.042553191489</v>
      </c>
      <c r="T14" s="12" t="n">
        <f aca="false">T8*CASE_TYPES!$B$16</f>
        <v>484.042553191489</v>
      </c>
      <c r="U14" s="12" t="n">
        <f aca="false">U8*CASE_TYPES!$B$16</f>
        <v>484.042553191489</v>
      </c>
      <c r="V14" s="12" t="n">
        <f aca="false">V8*CASE_TYPES!$B$16</f>
        <v>484.042553191489</v>
      </c>
      <c r="W14" s="12" t="n">
        <f aca="false">W8*CASE_TYPES!$B$16</f>
        <v>484.042553191489</v>
      </c>
      <c r="X14" s="12" t="n">
        <f aca="false">X8*CASE_TYPES!$B$16</f>
        <v>484.042553191489</v>
      </c>
      <c r="Y14" s="12" t="n">
        <f aca="false">Y8*CASE_TYPES!$B$16</f>
        <v>484.042553191489</v>
      </c>
    </row>
    <row r="15" customFormat="false" ht="15" hidden="false" customHeight="true" outlineLevel="0" collapsed="false">
      <c r="A15" s="16" t="s">
        <v>230</v>
      </c>
      <c r="B15" s="12" t="n">
        <f aca="false">FUNNEL_24M!B26*ASSUMPTIONS!$C$13</f>
        <v>620.622294991171</v>
      </c>
      <c r="C15" s="12" t="n">
        <f aca="false">FUNNEL_24M!C26*ASSUMPTIONS!$C$13</f>
        <v>621.519580236942</v>
      </c>
      <c r="D15" s="12" t="n">
        <f aca="false">FUNNEL_24M!D26*ASSUMPTIONS!$C$13</f>
        <v>622.431820236808</v>
      </c>
      <c r="E15" s="12" t="n">
        <f aca="false">FUNNEL_24M!E26*ASSUMPTIONS!$C$13</f>
        <v>623.359284176344</v>
      </c>
      <c r="F15" s="12" t="n">
        <f aca="false">FUNNEL_24M!F26*ASSUMPTIONS!$C$13</f>
        <v>624.302246325741</v>
      </c>
      <c r="G15" s="12" t="n">
        <f aca="false">FUNNEL_24M!G26*ASSUMPTIONS!$C$13</f>
        <v>625.260986138505</v>
      </c>
      <c r="H15" s="12" t="n">
        <f aca="false">FUNNEL_24M!H26*ASSUMPTIONS!$C$13</f>
        <v>626.235788352109</v>
      </c>
      <c r="I15" s="12" t="n">
        <f aca="false">FUNNEL_24M!I26*ASSUMPTIONS!$C$13</f>
        <v>627.226943090614</v>
      </c>
      <c r="J15" s="12" t="n">
        <f aca="false">FUNNEL_24M!J26*ASSUMPTIONS!$C$13</f>
        <v>628.234745969325</v>
      </c>
      <c r="K15" s="12" t="n">
        <f aca="false">FUNNEL_24M!K26*ASSUMPTIONS!$C$13</f>
        <v>629.259498201501</v>
      </c>
      <c r="L15" s="12" t="n">
        <f aca="false">FUNNEL_24M!L26*ASSUMPTIONS!$C$13</f>
        <v>630.301506707169</v>
      </c>
      <c r="M15" s="12" t="n">
        <f aca="false">FUNNEL_24M!M26*ASSUMPTIONS!$C$13</f>
        <v>631.361084224089</v>
      </c>
      <c r="N15" s="12" t="n">
        <f aca="false">FUNNEL_24M!N26*ASSUMPTIONS!$C$13</f>
        <v>632.438549420896</v>
      </c>
      <c r="O15" s="12" t="n">
        <f aca="false">FUNNEL_24M!O26*ASSUMPTIONS!$C$13</f>
        <v>633.534227012483</v>
      </c>
      <c r="P15" s="12" t="n">
        <f aca="false">FUNNEL_24M!P26*ASSUMPTIONS!$C$13</f>
        <v>634.648447877656</v>
      </c>
      <c r="Q15" s="12" t="n">
        <f aca="false">FUNNEL_24M!Q26*ASSUMPTIONS!$C$13</f>
        <v>635.781549179102</v>
      </c>
      <c r="R15" s="12" t="n">
        <f aca="false">FUNNEL_24M!R26*ASSUMPTIONS!$C$13</f>
        <v>636.933874485737</v>
      </c>
      <c r="S15" s="12" t="n">
        <f aca="false">FUNNEL_24M!S26*ASSUMPTIONS!$C$13</f>
        <v>638.105773897457</v>
      </c>
      <c r="T15" s="12" t="n">
        <f aca="false">FUNNEL_24M!T26*ASSUMPTIONS!$C$13</f>
        <v>639.297604172353</v>
      </c>
      <c r="U15" s="12" t="n">
        <f aca="false">FUNNEL_24M!U26*ASSUMPTIONS!$C$13</f>
        <v>640.509728856438</v>
      </c>
      <c r="V15" s="12" t="n">
        <f aca="false">FUNNEL_24M!V26*ASSUMPTIONS!$C$13</f>
        <v>641.742518415931</v>
      </c>
      <c r="W15" s="12" t="n">
        <f aca="false">FUNNEL_24M!W26*ASSUMPTIONS!$C$13</f>
        <v>642.99635037216</v>
      </c>
      <c r="X15" s="12" t="n">
        <f aca="false">FUNNEL_24M!X26*ASSUMPTIONS!$C$13</f>
        <v>644.271609439114</v>
      </c>
      <c r="Y15" s="12" t="n">
        <f aca="false">FUNNEL_24M!Y26*ASSUMPTIONS!$C$13</f>
        <v>645.568687663723</v>
      </c>
    </row>
    <row r="16" customFormat="false" ht="15" hidden="false" customHeight="true" outlineLevel="0" collapsed="false">
      <c r="A16" s="16" t="s">
        <v>231</v>
      </c>
      <c r="B16" s="12" t="n">
        <f aca="false">FUNNEL_24M!B18*ASSUMPTIONS!$C$16</f>
        <v>3424.6268784</v>
      </c>
      <c r="C16" s="12" t="n">
        <f aca="false">FUNNEL_24M!C18*ASSUMPTIONS!$C$16</f>
        <v>3429.578146176</v>
      </c>
      <c r="D16" s="12" t="n">
        <f aca="false">FUNNEL_24M!D18*ASSUMPTIONS!$C$16</f>
        <v>3434.6119350816</v>
      </c>
      <c r="E16" s="12" t="n">
        <f aca="false">FUNNEL_24M!E18*ASSUMPTIONS!$C$16</f>
        <v>3439.72973049713</v>
      </c>
      <c r="F16" s="12" t="n">
        <f aca="false">FUNNEL_24M!F18*ASSUMPTIONS!$C$16</f>
        <v>3444.93304586012</v>
      </c>
      <c r="G16" s="12" t="n">
        <f aca="false">FUNNEL_24M!G18*ASSUMPTIONS!$C$16</f>
        <v>3450.22342320989</v>
      </c>
      <c r="H16" s="12" t="n">
        <f aca="false">FUNNEL_24M!H18*ASSUMPTIONS!$C$16</f>
        <v>3455.60243374298</v>
      </c>
      <c r="I16" s="12" t="n">
        <f aca="false">FUNNEL_24M!I18*ASSUMPTIONS!$C$16</f>
        <v>3461.07167837943</v>
      </c>
      <c r="J16" s="12" t="n">
        <f aca="false">FUNNEL_24M!J18*ASSUMPTIONS!$C$16</f>
        <v>3466.63278834022</v>
      </c>
      <c r="K16" s="12" t="n">
        <f aca="false">FUNNEL_24M!K18*ASSUMPTIONS!$C$16</f>
        <v>3472.28742573615</v>
      </c>
      <c r="L16" s="12" t="n">
        <f aca="false">FUNNEL_24M!L18*ASSUMPTIONS!$C$16</f>
        <v>3478.0372841683</v>
      </c>
      <c r="M16" s="12" t="n">
        <f aca="false">FUNNEL_24M!M18*ASSUMPTIONS!$C$16</f>
        <v>3483.88408934026</v>
      </c>
      <c r="N16" s="12" t="n">
        <f aca="false">FUNNEL_24M!N18*ASSUMPTIONS!$C$16</f>
        <v>3489.82959968255</v>
      </c>
      <c r="O16" s="12" t="n">
        <f aca="false">FUNNEL_24M!O18*ASSUMPTIONS!$C$16</f>
        <v>3495.87560698924</v>
      </c>
      <c r="P16" s="12" t="n">
        <f aca="false">FUNNEL_24M!P18*ASSUMPTIONS!$C$16</f>
        <v>3502.0239370672</v>
      </c>
      <c r="Q16" s="12" t="n">
        <f aca="false">FUNNEL_24M!Q18*ASSUMPTIONS!$C$16</f>
        <v>3508.27645039809</v>
      </c>
      <c r="R16" s="12" t="n">
        <f aca="false">FUNNEL_24M!R18*ASSUMPTIONS!$C$16</f>
        <v>3514.6350428135</v>
      </c>
      <c r="S16" s="12" t="n">
        <f aca="false">FUNNEL_24M!S18*ASSUMPTIONS!$C$16</f>
        <v>3521.10164618329</v>
      </c>
      <c r="T16" s="12" t="n">
        <f aca="false">FUNNEL_24M!T18*ASSUMPTIONS!$C$16</f>
        <v>3527.67822911761</v>
      </c>
      <c r="U16" s="12" t="n">
        <f aca="false">FUNNEL_24M!U18*ASSUMPTIONS!$C$16</f>
        <v>3534.36679768273</v>
      </c>
      <c r="V16" s="12" t="n">
        <f aca="false">FUNNEL_24M!V18*ASSUMPTIONS!$C$16</f>
        <v>3541.16939613098</v>
      </c>
      <c r="W16" s="12" t="n">
        <f aca="false">FUNNEL_24M!W18*ASSUMPTIONS!$C$16</f>
        <v>3548.08810764513</v>
      </c>
      <c r="X16" s="12" t="n">
        <f aca="false">FUNNEL_24M!X18*ASSUMPTIONS!$C$16</f>
        <v>3555.12505509749</v>
      </c>
      <c r="Y16" s="12" t="n">
        <f aca="false">FUNNEL_24M!Y18*ASSUMPTIONS!$C$16</f>
        <v>3562.28240182388</v>
      </c>
    </row>
    <row r="17" customFormat="false" ht="15" hidden="false" customHeight="true" outlineLevel="0" collapsed="false">
      <c r="A17" s="3" t="s">
        <v>232</v>
      </c>
      <c r="B17" s="12" t="n">
        <f aca="false">SUM(B12:B16)</f>
        <v>5511.89810956138</v>
      </c>
      <c r="C17" s="12" t="n">
        <f aca="false">SUM(C12:C16)</f>
        <v>5517.74666258316</v>
      </c>
      <c r="D17" s="12" t="n">
        <f aca="false">SUM(D12:D16)</f>
        <v>5523.69269148862</v>
      </c>
      <c r="E17" s="12" t="n">
        <f aca="false">SUM(E12:E16)</f>
        <v>5529.73795084369</v>
      </c>
      <c r="F17" s="12" t="n">
        <f aca="false">SUM(F12:F16)</f>
        <v>5535.88422835607</v>
      </c>
      <c r="G17" s="12" t="n">
        <f aca="false">SUM(G12:G16)</f>
        <v>5542.13334551861</v>
      </c>
      <c r="H17" s="12" t="n">
        <f aca="false">SUM(H12:H16)</f>
        <v>5548.4871582653</v>
      </c>
      <c r="I17" s="12" t="n">
        <f aca="false">SUM(I12:I16)</f>
        <v>5554.94755764025</v>
      </c>
      <c r="J17" s="12" t="n">
        <f aca="false">SUM(J12:J16)</f>
        <v>5561.51647047975</v>
      </c>
      <c r="K17" s="12" t="n">
        <f aca="false">SUM(K12:K16)</f>
        <v>5568.19586010787</v>
      </c>
      <c r="L17" s="12" t="n">
        <f aca="false">SUM(L12:L16)</f>
        <v>5574.98772704568</v>
      </c>
      <c r="M17" s="12" t="n">
        <f aca="false">SUM(M12:M16)</f>
        <v>5581.89410973457</v>
      </c>
      <c r="N17" s="12" t="n">
        <f aca="false">SUM(N12:N16)</f>
        <v>5588.91708527366</v>
      </c>
      <c r="O17" s="12" t="n">
        <f aca="false">SUM(O12:O16)</f>
        <v>5596.05877017194</v>
      </c>
      <c r="P17" s="12" t="n">
        <f aca="false">SUM(P12:P16)</f>
        <v>5603.32132111507</v>
      </c>
      <c r="Q17" s="12" t="n">
        <f aca="false">SUM(Q12:Q16)</f>
        <v>5610.70693574741</v>
      </c>
      <c r="R17" s="12" t="n">
        <f aca="false">SUM(R12:R16)</f>
        <v>5618.21785346945</v>
      </c>
      <c r="S17" s="12" t="n">
        <f aca="false">SUM(S12:S16)</f>
        <v>5625.85635625096</v>
      </c>
      <c r="T17" s="12" t="n">
        <f aca="false">SUM(T12:T16)</f>
        <v>5633.62476946018</v>
      </c>
      <c r="U17" s="12" t="n">
        <f aca="false">SUM(U12:U16)</f>
        <v>5641.52546270938</v>
      </c>
      <c r="V17" s="12" t="n">
        <f aca="false">SUM(V12:V16)</f>
        <v>5649.56085071712</v>
      </c>
      <c r="W17" s="12" t="n">
        <f aca="false">SUM(W12:W16)</f>
        <v>5657.73339418751</v>
      </c>
      <c r="X17" s="12" t="n">
        <f aca="false">SUM(X12:X16)</f>
        <v>5666.04560070681</v>
      </c>
      <c r="Y17" s="12" t="n">
        <f aca="false">SUM(Y12:Y16)</f>
        <v>5674.50002565782</v>
      </c>
    </row>
    <row r="18" customFormat="false" ht="15" hidden="false" customHeight="true" outlineLevel="0" collapsed="false">
      <c r="A18" s="3" t="s">
        <v>233</v>
      </c>
      <c r="B18" s="12" t="n">
        <f aca="false">B11-B17</f>
        <v>9877.54127519428</v>
      </c>
      <c r="C18" s="12" t="n">
        <f aca="false">C11-C17</f>
        <v>9871.69272217251</v>
      </c>
      <c r="D18" s="12" t="n">
        <f aca="false">D11-D17</f>
        <v>9865.74669326704</v>
      </c>
      <c r="E18" s="12" t="n">
        <f aca="false">E11-E17</f>
        <v>9859.70143391197</v>
      </c>
      <c r="F18" s="12" t="n">
        <f aca="false">F11-F17</f>
        <v>9853.55515639959</v>
      </c>
      <c r="G18" s="12" t="n">
        <f aca="false">G11-G17</f>
        <v>9847.30603923705</v>
      </c>
      <c r="H18" s="12" t="n">
        <f aca="false">H11-H17</f>
        <v>9840.95222649036</v>
      </c>
      <c r="I18" s="12" t="n">
        <f aca="false">I11-I17</f>
        <v>9834.49182711541</v>
      </c>
      <c r="J18" s="12" t="n">
        <f aca="false">J11-J17</f>
        <v>9827.92291427591</v>
      </c>
      <c r="K18" s="12" t="n">
        <f aca="false">K11-K17</f>
        <v>9821.24352464779</v>
      </c>
      <c r="L18" s="12" t="n">
        <f aca="false">L11-L17</f>
        <v>9814.45165770998</v>
      </c>
      <c r="M18" s="12" t="n">
        <f aca="false">M11-M17</f>
        <v>9807.54527502109</v>
      </c>
      <c r="N18" s="12" t="n">
        <f aca="false">N11-N17</f>
        <v>9800.522299482</v>
      </c>
      <c r="O18" s="12" t="n">
        <f aca="false">O11-O17</f>
        <v>9793.38061458372</v>
      </c>
      <c r="P18" s="12" t="n">
        <f aca="false">P11-P17</f>
        <v>9786.11806364059</v>
      </c>
      <c r="Q18" s="12" t="n">
        <f aca="false">Q11-Q17</f>
        <v>9778.73244900825</v>
      </c>
      <c r="R18" s="12" t="n">
        <f aca="false">R11-R17</f>
        <v>9771.22153128621</v>
      </c>
      <c r="S18" s="12" t="n">
        <f aca="false">S11-S17</f>
        <v>9763.5830285047</v>
      </c>
      <c r="T18" s="12" t="n">
        <f aca="false">T11-T17</f>
        <v>9755.81461529548</v>
      </c>
      <c r="U18" s="12" t="n">
        <f aca="false">U11-U17</f>
        <v>9747.91392204628</v>
      </c>
      <c r="V18" s="12" t="n">
        <f aca="false">V11-V17</f>
        <v>9739.87853403854</v>
      </c>
      <c r="W18" s="12" t="n">
        <f aca="false">W11-W17</f>
        <v>9731.70599056815</v>
      </c>
      <c r="X18" s="12" t="n">
        <f aca="false">X11-X17</f>
        <v>9723.39378404884</v>
      </c>
      <c r="Y18" s="12" t="n">
        <f aca="false">Y11-Y17</f>
        <v>9714.93935909784</v>
      </c>
    </row>
    <row r="20" customFormat="false" ht="15" hidden="false" customHeight="true" outlineLevel="0" collapsed="false">
      <c r="A20" s="16" t="s">
        <v>234</v>
      </c>
      <c r="B20" s="12" t="n">
        <f aca="false">FUNNEL_24M!B4</f>
        <v>6000</v>
      </c>
      <c r="C20" s="12" t="n">
        <f aca="false">FUNNEL_24M!C4</f>
        <v>6000</v>
      </c>
      <c r="D20" s="12" t="n">
        <f aca="false">FUNNEL_24M!D4</f>
        <v>6000</v>
      </c>
      <c r="E20" s="12" t="n">
        <f aca="false">FUNNEL_24M!E4</f>
        <v>6000</v>
      </c>
      <c r="F20" s="12" t="n">
        <f aca="false">FUNNEL_24M!F4</f>
        <v>6000</v>
      </c>
      <c r="G20" s="12" t="n">
        <f aca="false">FUNNEL_24M!G4</f>
        <v>6000</v>
      </c>
      <c r="H20" s="12" t="n">
        <f aca="false">FUNNEL_24M!H4</f>
        <v>6000</v>
      </c>
      <c r="I20" s="12" t="n">
        <f aca="false">FUNNEL_24M!I4</f>
        <v>6000</v>
      </c>
      <c r="J20" s="12" t="n">
        <f aca="false">FUNNEL_24M!J4</f>
        <v>6000</v>
      </c>
      <c r="K20" s="12" t="n">
        <f aca="false">FUNNEL_24M!K4</f>
        <v>6000</v>
      </c>
      <c r="L20" s="12" t="n">
        <f aca="false">FUNNEL_24M!L4</f>
        <v>6000</v>
      </c>
      <c r="M20" s="12" t="n">
        <f aca="false">FUNNEL_24M!M4</f>
        <v>6000</v>
      </c>
      <c r="N20" s="12" t="n">
        <f aca="false">FUNNEL_24M!N4</f>
        <v>6000</v>
      </c>
      <c r="O20" s="12" t="n">
        <f aca="false">FUNNEL_24M!O4</f>
        <v>6000</v>
      </c>
      <c r="P20" s="12" t="n">
        <f aca="false">FUNNEL_24M!P4</f>
        <v>6000</v>
      </c>
      <c r="Q20" s="12" t="n">
        <f aca="false">FUNNEL_24M!Q4</f>
        <v>6000</v>
      </c>
      <c r="R20" s="12" t="n">
        <f aca="false">FUNNEL_24M!R4</f>
        <v>6000</v>
      </c>
      <c r="S20" s="12" t="n">
        <f aca="false">FUNNEL_24M!S4</f>
        <v>6000</v>
      </c>
      <c r="T20" s="12" t="n">
        <f aca="false">FUNNEL_24M!T4</f>
        <v>6000</v>
      </c>
      <c r="U20" s="12" t="n">
        <f aca="false">FUNNEL_24M!U4</f>
        <v>6000</v>
      </c>
      <c r="V20" s="12" t="n">
        <f aca="false">FUNNEL_24M!V4</f>
        <v>6000</v>
      </c>
      <c r="W20" s="12" t="n">
        <f aca="false">FUNNEL_24M!W4</f>
        <v>6000</v>
      </c>
      <c r="X20" s="12" t="n">
        <f aca="false">FUNNEL_24M!X4</f>
        <v>6000</v>
      </c>
      <c r="Y20" s="12" t="n">
        <f aca="false">FUNNEL_24M!Y4</f>
        <v>6000</v>
      </c>
    </row>
    <row r="21" customFormat="false" ht="15" hidden="false" customHeight="true" outlineLevel="0" collapsed="false">
      <c r="A21" s="16" t="s">
        <v>207</v>
      </c>
      <c r="B21" s="12" t="n">
        <f aca="false">FUNNEL_24M!B28</f>
        <v>0</v>
      </c>
      <c r="C21" s="12" t="n">
        <f aca="false">FUNNEL_24M!C28</f>
        <v>0</v>
      </c>
      <c r="D21" s="12" t="n">
        <f aca="false">FUNNEL_24M!D28</f>
        <v>0</v>
      </c>
      <c r="E21" s="12" t="n">
        <f aca="false">FUNNEL_24M!E28</f>
        <v>0</v>
      </c>
      <c r="F21" s="12" t="n">
        <f aca="false">FUNNEL_24M!F28</f>
        <v>0</v>
      </c>
      <c r="G21" s="12" t="n">
        <f aca="false">FUNNEL_24M!G28</f>
        <v>0</v>
      </c>
      <c r="H21" s="12" t="n">
        <f aca="false">FUNNEL_24M!H28</f>
        <v>0</v>
      </c>
      <c r="I21" s="12" t="n">
        <f aca="false">FUNNEL_24M!I28</f>
        <v>0</v>
      </c>
      <c r="J21" s="12" t="n">
        <f aca="false">FUNNEL_24M!J28</f>
        <v>0</v>
      </c>
      <c r="K21" s="12" t="n">
        <f aca="false">FUNNEL_24M!K28</f>
        <v>0</v>
      </c>
      <c r="L21" s="12" t="n">
        <f aca="false">FUNNEL_24M!L28</f>
        <v>0</v>
      </c>
      <c r="M21" s="12" t="n">
        <f aca="false">FUNNEL_24M!M28</f>
        <v>0</v>
      </c>
      <c r="N21" s="12" t="n">
        <f aca="false">FUNNEL_24M!N28</f>
        <v>0</v>
      </c>
      <c r="O21" s="12" t="n">
        <f aca="false">FUNNEL_24M!O28</f>
        <v>0</v>
      </c>
      <c r="P21" s="12" t="n">
        <f aca="false">FUNNEL_24M!P28</f>
        <v>0</v>
      </c>
      <c r="Q21" s="12" t="n">
        <f aca="false">FUNNEL_24M!Q28</f>
        <v>0</v>
      </c>
      <c r="R21" s="12" t="n">
        <f aca="false">FUNNEL_24M!R28</f>
        <v>0</v>
      </c>
      <c r="S21" s="12" t="n">
        <f aca="false">FUNNEL_24M!S28</f>
        <v>0</v>
      </c>
      <c r="T21" s="12" t="n">
        <f aca="false">FUNNEL_24M!T28</f>
        <v>0</v>
      </c>
      <c r="U21" s="12" t="n">
        <f aca="false">FUNNEL_24M!U28</f>
        <v>0</v>
      </c>
      <c r="V21" s="12" t="n">
        <f aca="false">FUNNEL_24M!V28</f>
        <v>0</v>
      </c>
      <c r="W21" s="12" t="n">
        <f aca="false">FUNNEL_24M!W28</f>
        <v>0</v>
      </c>
      <c r="X21" s="12" t="n">
        <f aca="false">FUNNEL_24M!X28</f>
        <v>0</v>
      </c>
      <c r="Y21" s="12" t="n">
        <f aca="false">FUNNEL_24M!Y28</f>
        <v>0</v>
      </c>
    </row>
    <row r="22" customFormat="false" ht="15" hidden="false" customHeight="true" outlineLevel="0" collapsed="false">
      <c r="A22" s="16" t="s">
        <v>208</v>
      </c>
      <c r="B22" s="12" t="n">
        <f aca="false">FUNNEL_24M!B29</f>
        <v>0</v>
      </c>
      <c r="C22" s="12" t="n">
        <f aca="false">FUNNEL_24M!C29</f>
        <v>0</v>
      </c>
      <c r="D22" s="12" t="n">
        <f aca="false">FUNNEL_24M!D29</f>
        <v>0</v>
      </c>
      <c r="E22" s="12" t="n">
        <f aca="false">FUNNEL_24M!E29</f>
        <v>0</v>
      </c>
      <c r="F22" s="12" t="n">
        <f aca="false">FUNNEL_24M!F29</f>
        <v>0</v>
      </c>
      <c r="G22" s="12" t="n">
        <f aca="false">FUNNEL_24M!G29</f>
        <v>0</v>
      </c>
      <c r="H22" s="12" t="n">
        <f aca="false">FUNNEL_24M!H29</f>
        <v>0</v>
      </c>
      <c r="I22" s="12" t="n">
        <f aca="false">FUNNEL_24M!I29</f>
        <v>0</v>
      </c>
      <c r="J22" s="12" t="n">
        <f aca="false">FUNNEL_24M!J29</f>
        <v>0</v>
      </c>
      <c r="K22" s="12" t="n">
        <f aca="false">FUNNEL_24M!K29</f>
        <v>0</v>
      </c>
      <c r="L22" s="12" t="n">
        <f aca="false">FUNNEL_24M!L29</f>
        <v>0</v>
      </c>
      <c r="M22" s="12" t="n">
        <f aca="false">FUNNEL_24M!M29</f>
        <v>0</v>
      </c>
      <c r="N22" s="12" t="n">
        <f aca="false">FUNNEL_24M!N29</f>
        <v>0</v>
      </c>
      <c r="O22" s="12" t="n">
        <f aca="false">FUNNEL_24M!O29</f>
        <v>0</v>
      </c>
      <c r="P22" s="12" t="n">
        <f aca="false">FUNNEL_24M!P29</f>
        <v>0</v>
      </c>
      <c r="Q22" s="12" t="n">
        <f aca="false">FUNNEL_24M!Q29</f>
        <v>0</v>
      </c>
      <c r="R22" s="12" t="n">
        <f aca="false">FUNNEL_24M!R29</f>
        <v>0</v>
      </c>
      <c r="S22" s="12" t="n">
        <f aca="false">FUNNEL_24M!S29</f>
        <v>0</v>
      </c>
      <c r="T22" s="12" t="n">
        <f aca="false">FUNNEL_24M!T29</f>
        <v>0</v>
      </c>
      <c r="U22" s="12" t="n">
        <f aca="false">FUNNEL_24M!U29</f>
        <v>0</v>
      </c>
      <c r="V22" s="12" t="n">
        <f aca="false">FUNNEL_24M!V29</f>
        <v>0</v>
      </c>
      <c r="W22" s="12" t="n">
        <f aca="false">FUNNEL_24M!W29</f>
        <v>0</v>
      </c>
      <c r="X22" s="12" t="n">
        <f aca="false">FUNNEL_24M!X29</f>
        <v>0</v>
      </c>
      <c r="Y22" s="12" t="n">
        <f aca="false">FUNNEL_24M!Y29</f>
        <v>0</v>
      </c>
    </row>
    <row r="23" customFormat="false" ht="15" hidden="false" customHeight="true" outlineLevel="0" collapsed="false">
      <c r="A23" s="16" t="s">
        <v>235</v>
      </c>
      <c r="B23" s="12" t="n">
        <f aca="false">FUNNEL_24M!B30</f>
        <v>0</v>
      </c>
      <c r="C23" s="12" t="n">
        <f aca="false">FUNNEL_24M!C30</f>
        <v>0</v>
      </c>
      <c r="D23" s="12" t="n">
        <f aca="false">FUNNEL_24M!D30</f>
        <v>0</v>
      </c>
      <c r="E23" s="12" t="n">
        <f aca="false">FUNNEL_24M!E30</f>
        <v>0</v>
      </c>
      <c r="F23" s="12" t="n">
        <f aca="false">FUNNEL_24M!F30</f>
        <v>0</v>
      </c>
      <c r="G23" s="12" t="n">
        <f aca="false">FUNNEL_24M!G30</f>
        <v>0</v>
      </c>
      <c r="H23" s="12" t="n">
        <f aca="false">FUNNEL_24M!H30</f>
        <v>0</v>
      </c>
      <c r="I23" s="12" t="n">
        <f aca="false">FUNNEL_24M!I30</f>
        <v>0</v>
      </c>
      <c r="J23" s="12" t="n">
        <f aca="false">FUNNEL_24M!J30</f>
        <v>0</v>
      </c>
      <c r="K23" s="12" t="n">
        <f aca="false">FUNNEL_24M!K30</f>
        <v>0</v>
      </c>
      <c r="L23" s="12" t="n">
        <f aca="false">FUNNEL_24M!L30</f>
        <v>0</v>
      </c>
      <c r="M23" s="12" t="n">
        <f aca="false">FUNNEL_24M!M30</f>
        <v>0</v>
      </c>
      <c r="N23" s="12" t="n">
        <f aca="false">FUNNEL_24M!N30</f>
        <v>0</v>
      </c>
      <c r="O23" s="12" t="n">
        <f aca="false">FUNNEL_24M!O30</f>
        <v>0</v>
      </c>
      <c r="P23" s="12" t="n">
        <f aca="false">FUNNEL_24M!P30</f>
        <v>0</v>
      </c>
      <c r="Q23" s="12" t="n">
        <f aca="false">FUNNEL_24M!Q30</f>
        <v>0</v>
      </c>
      <c r="R23" s="12" t="n">
        <f aca="false">FUNNEL_24M!R30</f>
        <v>0</v>
      </c>
      <c r="S23" s="12" t="n">
        <f aca="false">FUNNEL_24M!S30</f>
        <v>0</v>
      </c>
      <c r="T23" s="12" t="n">
        <f aca="false">FUNNEL_24M!T30</f>
        <v>0</v>
      </c>
      <c r="U23" s="12" t="n">
        <f aca="false">FUNNEL_24M!U30</f>
        <v>0</v>
      </c>
      <c r="V23" s="12" t="n">
        <f aca="false">FUNNEL_24M!V30</f>
        <v>0</v>
      </c>
      <c r="W23" s="12" t="n">
        <f aca="false">FUNNEL_24M!W30</f>
        <v>0</v>
      </c>
      <c r="X23" s="12" t="n">
        <f aca="false">FUNNEL_24M!X30</f>
        <v>0</v>
      </c>
      <c r="Y23" s="12" t="n">
        <f aca="false">FUNNEL_24M!Y30</f>
        <v>0</v>
      </c>
    </row>
    <row r="24" customFormat="false" ht="15" hidden="false" customHeight="true" outlineLevel="0" collapsed="false">
      <c r="A24" s="3" t="s">
        <v>236</v>
      </c>
      <c r="B24" s="12" t="n">
        <f aca="false">SUM(B20:B23)</f>
        <v>6000</v>
      </c>
      <c r="C24" s="12" t="n">
        <f aca="false">SUM(C20:C23)</f>
        <v>6000</v>
      </c>
      <c r="D24" s="12" t="n">
        <f aca="false">SUM(D20:D23)</f>
        <v>6000</v>
      </c>
      <c r="E24" s="12" t="n">
        <f aca="false">SUM(E20:E23)</f>
        <v>6000</v>
      </c>
      <c r="F24" s="12" t="n">
        <f aca="false">SUM(F20:F23)</f>
        <v>6000</v>
      </c>
      <c r="G24" s="12" t="n">
        <f aca="false">SUM(G20:G23)</f>
        <v>6000</v>
      </c>
      <c r="H24" s="12" t="n">
        <f aca="false">SUM(H20:H23)</f>
        <v>6000</v>
      </c>
      <c r="I24" s="12" t="n">
        <f aca="false">SUM(I20:I23)</f>
        <v>6000</v>
      </c>
      <c r="J24" s="12" t="n">
        <f aca="false">SUM(J20:J23)</f>
        <v>6000</v>
      </c>
      <c r="K24" s="12" t="n">
        <f aca="false">SUM(K20:K23)</f>
        <v>6000</v>
      </c>
      <c r="L24" s="12" t="n">
        <f aca="false">SUM(L20:L23)</f>
        <v>6000</v>
      </c>
      <c r="M24" s="12" t="n">
        <f aca="false">SUM(M20:M23)</f>
        <v>6000</v>
      </c>
      <c r="N24" s="12" t="n">
        <f aca="false">SUM(N20:N23)</f>
        <v>6000</v>
      </c>
      <c r="O24" s="12" t="n">
        <f aca="false">SUM(O20:O23)</f>
        <v>6000</v>
      </c>
      <c r="P24" s="12" t="n">
        <f aca="false">SUM(P20:P23)</f>
        <v>6000</v>
      </c>
      <c r="Q24" s="12" t="n">
        <f aca="false">SUM(Q20:Q23)</f>
        <v>6000</v>
      </c>
      <c r="R24" s="12" t="n">
        <f aca="false">SUM(R20:R23)</f>
        <v>6000</v>
      </c>
      <c r="S24" s="12" t="n">
        <f aca="false">SUM(S20:S23)</f>
        <v>6000</v>
      </c>
      <c r="T24" s="12" t="n">
        <f aca="false">SUM(T20:T23)</f>
        <v>6000</v>
      </c>
      <c r="U24" s="12" t="n">
        <f aca="false">SUM(U20:U23)</f>
        <v>6000</v>
      </c>
      <c r="V24" s="12" t="n">
        <f aca="false">SUM(V20:V23)</f>
        <v>6000</v>
      </c>
      <c r="W24" s="12" t="n">
        <f aca="false">SUM(W20:W23)</f>
        <v>6000</v>
      </c>
      <c r="X24" s="12" t="n">
        <f aca="false">SUM(X20:X23)</f>
        <v>6000</v>
      </c>
      <c r="Y24" s="12" t="n">
        <f aca="false">SUM(Y20:Y23)</f>
        <v>6000</v>
      </c>
    </row>
    <row r="26" customFormat="false" ht="15" hidden="false" customHeight="true" outlineLevel="0" collapsed="false">
      <c r="A26" s="16" t="s">
        <v>237</v>
      </c>
      <c r="B26" s="12" t="n">
        <f aca="false">ASSUMPTIONS!$C$14*ASSUMPTIONS!$C$15*(1+ASSUMPTIONS!$C$37)^INT((1-1)/12)</f>
        <v>0</v>
      </c>
      <c r="C26" s="12" t="n">
        <f aca="false">ASSUMPTIONS!$C$14*ASSUMPTIONS!$C$15*(1+ASSUMPTIONS!$C$37)^INT((2-1)/12)</f>
        <v>0</v>
      </c>
      <c r="D26" s="12" t="n">
        <f aca="false">ASSUMPTIONS!$C$14*ASSUMPTIONS!$C$15*(1+ASSUMPTIONS!$C$37)^INT((3-1)/12)</f>
        <v>0</v>
      </c>
      <c r="E26" s="12" t="n">
        <f aca="false">ASSUMPTIONS!$C$14*ASSUMPTIONS!$C$15*(1+ASSUMPTIONS!$C$37)^INT((4-1)/12)</f>
        <v>0</v>
      </c>
      <c r="F26" s="12" t="n">
        <f aca="false">ASSUMPTIONS!$C$14*ASSUMPTIONS!$C$15*(1+ASSUMPTIONS!$C$37)^INT((5-1)/12)</f>
        <v>0</v>
      </c>
      <c r="G26" s="12" t="n">
        <f aca="false">ASSUMPTIONS!$C$14*ASSUMPTIONS!$C$15*(1+ASSUMPTIONS!$C$37)^INT((6-1)/12)</f>
        <v>0</v>
      </c>
      <c r="H26" s="12" t="n">
        <f aca="false">ASSUMPTIONS!$C$14*ASSUMPTIONS!$C$15*(1+ASSUMPTIONS!$C$37)^INT((7-1)/12)</f>
        <v>0</v>
      </c>
      <c r="I26" s="12" t="n">
        <f aca="false">ASSUMPTIONS!$C$14*ASSUMPTIONS!$C$15*(1+ASSUMPTIONS!$C$37)^INT((8-1)/12)</f>
        <v>0</v>
      </c>
      <c r="J26" s="12" t="n">
        <f aca="false">ASSUMPTIONS!$C$14*ASSUMPTIONS!$C$15*(1+ASSUMPTIONS!$C$37)^INT((9-1)/12)</f>
        <v>0</v>
      </c>
      <c r="K26" s="12" t="n">
        <f aca="false">ASSUMPTIONS!$C$14*ASSUMPTIONS!$C$15*(1+ASSUMPTIONS!$C$37)^INT((10-1)/12)</f>
        <v>0</v>
      </c>
      <c r="L26" s="12" t="n">
        <f aca="false">ASSUMPTIONS!$C$14*ASSUMPTIONS!$C$15*(1+ASSUMPTIONS!$C$37)^INT((11-1)/12)</f>
        <v>0</v>
      </c>
      <c r="M26" s="12" t="n">
        <f aca="false">ASSUMPTIONS!$C$14*ASSUMPTIONS!$C$15*(1+ASSUMPTIONS!$C$37)^INT((12-1)/12)</f>
        <v>0</v>
      </c>
      <c r="N26" s="12" t="n">
        <f aca="false">ASSUMPTIONS!$C$14*ASSUMPTIONS!$C$15*(1+ASSUMPTIONS!$C$37)^INT((13-1)/12)</f>
        <v>0</v>
      </c>
      <c r="O26" s="12" t="n">
        <f aca="false">ASSUMPTIONS!$C$14*ASSUMPTIONS!$C$15*(1+ASSUMPTIONS!$C$37)^INT((14-1)/12)</f>
        <v>0</v>
      </c>
      <c r="P26" s="12" t="n">
        <f aca="false">ASSUMPTIONS!$C$14*ASSUMPTIONS!$C$15*(1+ASSUMPTIONS!$C$37)^INT((15-1)/12)</f>
        <v>0</v>
      </c>
      <c r="Q26" s="12" t="n">
        <f aca="false">ASSUMPTIONS!$C$14*ASSUMPTIONS!$C$15*(1+ASSUMPTIONS!$C$37)^INT((16-1)/12)</f>
        <v>0</v>
      </c>
      <c r="R26" s="12" t="n">
        <f aca="false">ASSUMPTIONS!$C$14*ASSUMPTIONS!$C$15*(1+ASSUMPTIONS!$C$37)^INT((17-1)/12)</f>
        <v>0</v>
      </c>
      <c r="S26" s="12" t="n">
        <f aca="false">ASSUMPTIONS!$C$14*ASSUMPTIONS!$C$15*(1+ASSUMPTIONS!$C$37)^INT((18-1)/12)</f>
        <v>0</v>
      </c>
      <c r="T26" s="12" t="n">
        <f aca="false">ASSUMPTIONS!$C$14*ASSUMPTIONS!$C$15*(1+ASSUMPTIONS!$C$37)^INT((19-1)/12)</f>
        <v>0</v>
      </c>
      <c r="U26" s="12" t="n">
        <f aca="false">ASSUMPTIONS!$C$14*ASSUMPTIONS!$C$15*(1+ASSUMPTIONS!$C$37)^INT((20-1)/12)</f>
        <v>0</v>
      </c>
      <c r="V26" s="12" t="n">
        <f aca="false">ASSUMPTIONS!$C$14*ASSUMPTIONS!$C$15*(1+ASSUMPTIONS!$C$37)^INT((21-1)/12)</f>
        <v>0</v>
      </c>
      <c r="W26" s="12" t="n">
        <f aca="false">ASSUMPTIONS!$C$14*ASSUMPTIONS!$C$15*(1+ASSUMPTIONS!$C$37)^INT((22-1)/12)</f>
        <v>0</v>
      </c>
      <c r="X26" s="12" t="n">
        <f aca="false">ASSUMPTIONS!$C$14*ASSUMPTIONS!$C$15*(1+ASSUMPTIONS!$C$37)^INT((23-1)/12)</f>
        <v>0</v>
      </c>
      <c r="Y26" s="12" t="n">
        <f aca="false">ASSUMPTIONS!$C$14*ASSUMPTIONS!$C$15*(1+ASSUMPTIONS!$C$37)^INT((24-1)/12)</f>
        <v>0</v>
      </c>
    </row>
    <row r="27" customFormat="false" ht="15" hidden="false" customHeight="true" outlineLevel="0" collapsed="false">
      <c r="A27" s="16" t="s">
        <v>238</v>
      </c>
      <c r="B27" s="12" t="n">
        <f aca="false">ASSUMPTIONS!$C$22*ASSUMPTIONS!$C$23*(1+ASSUMPTIONS!$C$37)^INT((1-1)/12)</f>
        <v>0</v>
      </c>
      <c r="C27" s="12" t="n">
        <f aca="false">ASSUMPTIONS!$C$22*ASSUMPTIONS!$C$23*(1+ASSUMPTIONS!$C$37)^INT((2-1)/12)</f>
        <v>0</v>
      </c>
      <c r="D27" s="12" t="n">
        <f aca="false">ASSUMPTIONS!$C$22*ASSUMPTIONS!$C$23*(1+ASSUMPTIONS!$C$37)^INT((3-1)/12)</f>
        <v>0</v>
      </c>
      <c r="E27" s="12" t="n">
        <f aca="false">ASSUMPTIONS!$C$22*ASSUMPTIONS!$C$23*(1+ASSUMPTIONS!$C$37)^INT((4-1)/12)</f>
        <v>0</v>
      </c>
      <c r="F27" s="12" t="n">
        <f aca="false">ASSUMPTIONS!$C$22*ASSUMPTIONS!$C$23*(1+ASSUMPTIONS!$C$37)^INT((5-1)/12)</f>
        <v>0</v>
      </c>
      <c r="G27" s="12" t="n">
        <f aca="false">ASSUMPTIONS!$C$22*ASSUMPTIONS!$C$23*(1+ASSUMPTIONS!$C$37)^INT((6-1)/12)</f>
        <v>0</v>
      </c>
      <c r="H27" s="12" t="n">
        <f aca="false">ASSUMPTIONS!$C$22*ASSUMPTIONS!$C$23*(1+ASSUMPTIONS!$C$37)^INT((7-1)/12)</f>
        <v>0</v>
      </c>
      <c r="I27" s="12" t="n">
        <f aca="false">ASSUMPTIONS!$C$22*ASSUMPTIONS!$C$23*(1+ASSUMPTIONS!$C$37)^INT((8-1)/12)</f>
        <v>0</v>
      </c>
      <c r="J27" s="12" t="n">
        <f aca="false">ASSUMPTIONS!$C$22*ASSUMPTIONS!$C$23*(1+ASSUMPTIONS!$C$37)^INT((9-1)/12)</f>
        <v>0</v>
      </c>
      <c r="K27" s="12" t="n">
        <f aca="false">ASSUMPTIONS!$C$22*ASSUMPTIONS!$C$23*(1+ASSUMPTIONS!$C$37)^INT((10-1)/12)</f>
        <v>0</v>
      </c>
      <c r="L27" s="12" t="n">
        <f aca="false">ASSUMPTIONS!$C$22*ASSUMPTIONS!$C$23*(1+ASSUMPTIONS!$C$37)^INT((11-1)/12)</f>
        <v>0</v>
      </c>
      <c r="M27" s="12" t="n">
        <f aca="false">ASSUMPTIONS!$C$22*ASSUMPTIONS!$C$23*(1+ASSUMPTIONS!$C$37)^INT((12-1)/12)</f>
        <v>0</v>
      </c>
      <c r="N27" s="12" t="n">
        <f aca="false">ASSUMPTIONS!$C$22*ASSUMPTIONS!$C$23*(1+ASSUMPTIONS!$C$37)^INT((13-1)/12)</f>
        <v>0</v>
      </c>
      <c r="O27" s="12" t="n">
        <f aca="false">ASSUMPTIONS!$C$22*ASSUMPTIONS!$C$23*(1+ASSUMPTIONS!$C$37)^INT((14-1)/12)</f>
        <v>0</v>
      </c>
      <c r="P27" s="12" t="n">
        <f aca="false">ASSUMPTIONS!$C$22*ASSUMPTIONS!$C$23*(1+ASSUMPTIONS!$C$37)^INT((15-1)/12)</f>
        <v>0</v>
      </c>
      <c r="Q27" s="12" t="n">
        <f aca="false">ASSUMPTIONS!$C$22*ASSUMPTIONS!$C$23*(1+ASSUMPTIONS!$C$37)^INT((16-1)/12)</f>
        <v>0</v>
      </c>
      <c r="R27" s="12" t="n">
        <f aca="false">ASSUMPTIONS!$C$22*ASSUMPTIONS!$C$23*(1+ASSUMPTIONS!$C$37)^INT((17-1)/12)</f>
        <v>0</v>
      </c>
      <c r="S27" s="12" t="n">
        <f aca="false">ASSUMPTIONS!$C$22*ASSUMPTIONS!$C$23*(1+ASSUMPTIONS!$C$37)^INT((18-1)/12)</f>
        <v>0</v>
      </c>
      <c r="T27" s="12" t="n">
        <f aca="false">ASSUMPTIONS!$C$22*ASSUMPTIONS!$C$23*(1+ASSUMPTIONS!$C$37)^INT((19-1)/12)</f>
        <v>0</v>
      </c>
      <c r="U27" s="12" t="n">
        <f aca="false">ASSUMPTIONS!$C$22*ASSUMPTIONS!$C$23*(1+ASSUMPTIONS!$C$37)^INT((20-1)/12)</f>
        <v>0</v>
      </c>
      <c r="V27" s="12" t="n">
        <f aca="false">ASSUMPTIONS!$C$22*ASSUMPTIONS!$C$23*(1+ASSUMPTIONS!$C$37)^INT((21-1)/12)</f>
        <v>0</v>
      </c>
      <c r="W27" s="12" t="n">
        <f aca="false">ASSUMPTIONS!$C$22*ASSUMPTIONS!$C$23*(1+ASSUMPTIONS!$C$37)^INT((22-1)/12)</f>
        <v>0</v>
      </c>
      <c r="X27" s="12" t="n">
        <f aca="false">ASSUMPTIONS!$C$22*ASSUMPTIONS!$C$23*(1+ASSUMPTIONS!$C$37)^INT((23-1)/12)</f>
        <v>0</v>
      </c>
      <c r="Y27" s="12" t="n">
        <f aca="false">ASSUMPTIONS!$C$22*ASSUMPTIONS!$C$23*(1+ASSUMPTIONS!$C$37)^INT((24-1)/12)</f>
        <v>0</v>
      </c>
    </row>
    <row r="28" customFormat="false" ht="15" hidden="false" customHeight="true" outlineLevel="0" collapsed="false">
      <c r="A28" s="16" t="s">
        <v>239</v>
      </c>
      <c r="B28" s="12" t="n">
        <f aca="false">ASSUMPTIONS!$C$22*ASSUMPTIONS!$C$24*(1+ASSUMPTIONS!$C$37)^INT((1-1)/12)</f>
        <v>450</v>
      </c>
      <c r="C28" s="12" t="n">
        <f aca="false">ASSUMPTIONS!$C$22*ASSUMPTIONS!$C$24*(1+ASSUMPTIONS!$C$37)^INT((2-1)/12)</f>
        <v>450</v>
      </c>
      <c r="D28" s="12" t="n">
        <f aca="false">ASSUMPTIONS!$C$22*ASSUMPTIONS!$C$24*(1+ASSUMPTIONS!$C$37)^INT((3-1)/12)</f>
        <v>450</v>
      </c>
      <c r="E28" s="12" t="n">
        <f aca="false">ASSUMPTIONS!$C$22*ASSUMPTIONS!$C$24*(1+ASSUMPTIONS!$C$37)^INT((4-1)/12)</f>
        <v>450</v>
      </c>
      <c r="F28" s="12" t="n">
        <f aca="false">ASSUMPTIONS!$C$22*ASSUMPTIONS!$C$24*(1+ASSUMPTIONS!$C$37)^INT((5-1)/12)</f>
        <v>450</v>
      </c>
      <c r="G28" s="12" t="n">
        <f aca="false">ASSUMPTIONS!$C$22*ASSUMPTIONS!$C$24*(1+ASSUMPTIONS!$C$37)^INT((6-1)/12)</f>
        <v>450</v>
      </c>
      <c r="H28" s="12" t="n">
        <f aca="false">ASSUMPTIONS!$C$22*ASSUMPTIONS!$C$24*(1+ASSUMPTIONS!$C$37)^INT((7-1)/12)</f>
        <v>450</v>
      </c>
      <c r="I28" s="12" t="n">
        <f aca="false">ASSUMPTIONS!$C$22*ASSUMPTIONS!$C$24*(1+ASSUMPTIONS!$C$37)^INT((8-1)/12)</f>
        <v>450</v>
      </c>
      <c r="J28" s="12" t="n">
        <f aca="false">ASSUMPTIONS!$C$22*ASSUMPTIONS!$C$24*(1+ASSUMPTIONS!$C$37)^INT((9-1)/12)</f>
        <v>450</v>
      </c>
      <c r="K28" s="12" t="n">
        <f aca="false">ASSUMPTIONS!$C$22*ASSUMPTIONS!$C$24*(1+ASSUMPTIONS!$C$37)^INT((10-1)/12)</f>
        <v>450</v>
      </c>
      <c r="L28" s="12" t="n">
        <f aca="false">ASSUMPTIONS!$C$22*ASSUMPTIONS!$C$24*(1+ASSUMPTIONS!$C$37)^INT((11-1)/12)</f>
        <v>450</v>
      </c>
      <c r="M28" s="12" t="n">
        <f aca="false">ASSUMPTIONS!$C$22*ASSUMPTIONS!$C$24*(1+ASSUMPTIONS!$C$37)^INT((12-1)/12)</f>
        <v>450</v>
      </c>
      <c r="N28" s="12" t="n">
        <f aca="false">ASSUMPTIONS!$C$22*ASSUMPTIONS!$C$24*(1+ASSUMPTIONS!$C$37)^INT((13-1)/12)</f>
        <v>463.5</v>
      </c>
      <c r="O28" s="12" t="n">
        <f aca="false">ASSUMPTIONS!$C$22*ASSUMPTIONS!$C$24*(1+ASSUMPTIONS!$C$37)^INT((14-1)/12)</f>
        <v>463.5</v>
      </c>
      <c r="P28" s="12" t="n">
        <f aca="false">ASSUMPTIONS!$C$22*ASSUMPTIONS!$C$24*(1+ASSUMPTIONS!$C$37)^INT((15-1)/12)</f>
        <v>463.5</v>
      </c>
      <c r="Q28" s="12" t="n">
        <f aca="false">ASSUMPTIONS!$C$22*ASSUMPTIONS!$C$24*(1+ASSUMPTIONS!$C$37)^INT((16-1)/12)</f>
        <v>463.5</v>
      </c>
      <c r="R28" s="12" t="n">
        <f aca="false">ASSUMPTIONS!$C$22*ASSUMPTIONS!$C$24*(1+ASSUMPTIONS!$C$37)^INT((17-1)/12)</f>
        <v>463.5</v>
      </c>
      <c r="S28" s="12" t="n">
        <f aca="false">ASSUMPTIONS!$C$22*ASSUMPTIONS!$C$24*(1+ASSUMPTIONS!$C$37)^INT((18-1)/12)</f>
        <v>463.5</v>
      </c>
      <c r="T28" s="12" t="n">
        <f aca="false">ASSUMPTIONS!$C$22*ASSUMPTIONS!$C$24*(1+ASSUMPTIONS!$C$37)^INT((19-1)/12)</f>
        <v>463.5</v>
      </c>
      <c r="U28" s="12" t="n">
        <f aca="false">ASSUMPTIONS!$C$22*ASSUMPTIONS!$C$24*(1+ASSUMPTIONS!$C$37)^INT((20-1)/12)</f>
        <v>463.5</v>
      </c>
      <c r="V28" s="12" t="n">
        <f aca="false">ASSUMPTIONS!$C$22*ASSUMPTIONS!$C$24*(1+ASSUMPTIONS!$C$37)^INT((21-1)/12)</f>
        <v>463.5</v>
      </c>
      <c r="W28" s="12" t="n">
        <f aca="false">ASSUMPTIONS!$C$22*ASSUMPTIONS!$C$24*(1+ASSUMPTIONS!$C$37)^INT((22-1)/12)</f>
        <v>463.5</v>
      </c>
      <c r="X28" s="12" t="n">
        <f aca="false">ASSUMPTIONS!$C$22*ASSUMPTIONS!$C$24*(1+ASSUMPTIONS!$C$37)^INT((23-1)/12)</f>
        <v>463.5</v>
      </c>
      <c r="Y28" s="12" t="n">
        <f aca="false">ASSUMPTIONS!$C$22*ASSUMPTIONS!$C$24*(1+ASSUMPTIONS!$C$37)^INT((24-1)/12)</f>
        <v>463.5</v>
      </c>
    </row>
    <row r="29" customFormat="false" ht="15" hidden="false" customHeight="true" outlineLevel="0" collapsed="false">
      <c r="A29" s="16" t="s">
        <v>240</v>
      </c>
      <c r="B29" s="12" t="n">
        <f aca="false">ASSUMPTIONS!$C$22*ASSUMPTIONS!$C$25*(1+ASSUMPTIONS!$C$37)^INT((1-1)/12)</f>
        <v>90</v>
      </c>
      <c r="C29" s="12" t="n">
        <f aca="false">ASSUMPTIONS!$C$22*ASSUMPTIONS!$C$25*(1+ASSUMPTIONS!$C$37)^INT((2-1)/12)</f>
        <v>90</v>
      </c>
      <c r="D29" s="12" t="n">
        <f aca="false">ASSUMPTIONS!$C$22*ASSUMPTIONS!$C$25*(1+ASSUMPTIONS!$C$37)^INT((3-1)/12)</f>
        <v>90</v>
      </c>
      <c r="E29" s="12" t="n">
        <f aca="false">ASSUMPTIONS!$C$22*ASSUMPTIONS!$C$25*(1+ASSUMPTIONS!$C$37)^INT((4-1)/12)</f>
        <v>90</v>
      </c>
      <c r="F29" s="12" t="n">
        <f aca="false">ASSUMPTIONS!$C$22*ASSUMPTIONS!$C$25*(1+ASSUMPTIONS!$C$37)^INT((5-1)/12)</f>
        <v>90</v>
      </c>
      <c r="G29" s="12" t="n">
        <f aca="false">ASSUMPTIONS!$C$22*ASSUMPTIONS!$C$25*(1+ASSUMPTIONS!$C$37)^INT((6-1)/12)</f>
        <v>90</v>
      </c>
      <c r="H29" s="12" t="n">
        <f aca="false">ASSUMPTIONS!$C$22*ASSUMPTIONS!$C$25*(1+ASSUMPTIONS!$C$37)^INT((7-1)/12)</f>
        <v>90</v>
      </c>
      <c r="I29" s="12" t="n">
        <f aca="false">ASSUMPTIONS!$C$22*ASSUMPTIONS!$C$25*(1+ASSUMPTIONS!$C$37)^INT((8-1)/12)</f>
        <v>90</v>
      </c>
      <c r="J29" s="12" t="n">
        <f aca="false">ASSUMPTIONS!$C$22*ASSUMPTIONS!$C$25*(1+ASSUMPTIONS!$C$37)^INT((9-1)/12)</f>
        <v>90</v>
      </c>
      <c r="K29" s="12" t="n">
        <f aca="false">ASSUMPTIONS!$C$22*ASSUMPTIONS!$C$25*(1+ASSUMPTIONS!$C$37)^INT((10-1)/12)</f>
        <v>90</v>
      </c>
      <c r="L29" s="12" t="n">
        <f aca="false">ASSUMPTIONS!$C$22*ASSUMPTIONS!$C$25*(1+ASSUMPTIONS!$C$37)^INT((11-1)/12)</f>
        <v>90</v>
      </c>
      <c r="M29" s="12" t="n">
        <f aca="false">ASSUMPTIONS!$C$22*ASSUMPTIONS!$C$25*(1+ASSUMPTIONS!$C$37)^INT((12-1)/12)</f>
        <v>90</v>
      </c>
      <c r="N29" s="12" t="n">
        <f aca="false">ASSUMPTIONS!$C$22*ASSUMPTIONS!$C$25*(1+ASSUMPTIONS!$C$37)^INT((13-1)/12)</f>
        <v>92.7</v>
      </c>
      <c r="O29" s="12" t="n">
        <f aca="false">ASSUMPTIONS!$C$22*ASSUMPTIONS!$C$25*(1+ASSUMPTIONS!$C$37)^INT((14-1)/12)</f>
        <v>92.7</v>
      </c>
      <c r="P29" s="12" t="n">
        <f aca="false">ASSUMPTIONS!$C$22*ASSUMPTIONS!$C$25*(1+ASSUMPTIONS!$C$37)^INT((15-1)/12)</f>
        <v>92.7</v>
      </c>
      <c r="Q29" s="12" t="n">
        <f aca="false">ASSUMPTIONS!$C$22*ASSUMPTIONS!$C$25*(1+ASSUMPTIONS!$C$37)^INT((16-1)/12)</f>
        <v>92.7</v>
      </c>
      <c r="R29" s="12" t="n">
        <f aca="false">ASSUMPTIONS!$C$22*ASSUMPTIONS!$C$25*(1+ASSUMPTIONS!$C$37)^INT((17-1)/12)</f>
        <v>92.7</v>
      </c>
      <c r="S29" s="12" t="n">
        <f aca="false">ASSUMPTIONS!$C$22*ASSUMPTIONS!$C$25*(1+ASSUMPTIONS!$C$37)^INT((18-1)/12)</f>
        <v>92.7</v>
      </c>
      <c r="T29" s="12" t="n">
        <f aca="false">ASSUMPTIONS!$C$22*ASSUMPTIONS!$C$25*(1+ASSUMPTIONS!$C$37)^INT((19-1)/12)</f>
        <v>92.7</v>
      </c>
      <c r="U29" s="12" t="n">
        <f aca="false">ASSUMPTIONS!$C$22*ASSUMPTIONS!$C$25*(1+ASSUMPTIONS!$C$37)^INT((20-1)/12)</f>
        <v>92.7</v>
      </c>
      <c r="V29" s="12" t="n">
        <f aca="false">ASSUMPTIONS!$C$22*ASSUMPTIONS!$C$25*(1+ASSUMPTIONS!$C$37)^INT((21-1)/12)</f>
        <v>92.7</v>
      </c>
      <c r="W29" s="12" t="n">
        <f aca="false">ASSUMPTIONS!$C$22*ASSUMPTIONS!$C$25*(1+ASSUMPTIONS!$C$37)^INT((22-1)/12)</f>
        <v>92.7</v>
      </c>
      <c r="X29" s="12" t="n">
        <f aca="false">ASSUMPTIONS!$C$22*ASSUMPTIONS!$C$25*(1+ASSUMPTIONS!$C$37)^INT((23-1)/12)</f>
        <v>92.7</v>
      </c>
      <c r="Y29" s="12" t="n">
        <f aca="false">ASSUMPTIONS!$C$22*ASSUMPTIONS!$C$25*(1+ASSUMPTIONS!$C$37)^INT((24-1)/12)</f>
        <v>92.7</v>
      </c>
    </row>
    <row r="30" customFormat="false" ht="15" hidden="false" customHeight="true" outlineLevel="0" collapsed="false">
      <c r="A30" s="16" t="s">
        <v>241</v>
      </c>
      <c r="B30" s="12" t="n">
        <f aca="false">ASSUMPTIONS!$C$31*(1+ASSUMPTIONS!$C$37)^INT((1-1)/12)</f>
        <v>0</v>
      </c>
      <c r="C30" s="12" t="n">
        <f aca="false">ASSUMPTIONS!$C$31*(1+ASSUMPTIONS!$C$37)^INT((2-1)/12)</f>
        <v>0</v>
      </c>
      <c r="D30" s="12" t="n">
        <f aca="false">ASSUMPTIONS!$C$31*(1+ASSUMPTIONS!$C$37)^INT((3-1)/12)</f>
        <v>0</v>
      </c>
      <c r="E30" s="12" t="n">
        <f aca="false">ASSUMPTIONS!$C$31*(1+ASSUMPTIONS!$C$37)^INT((4-1)/12)</f>
        <v>0</v>
      </c>
      <c r="F30" s="12" t="n">
        <f aca="false">ASSUMPTIONS!$C$31*(1+ASSUMPTIONS!$C$37)^INT((5-1)/12)</f>
        <v>0</v>
      </c>
      <c r="G30" s="12" t="n">
        <f aca="false">ASSUMPTIONS!$C$31*(1+ASSUMPTIONS!$C$37)^INT((6-1)/12)</f>
        <v>0</v>
      </c>
      <c r="H30" s="12" t="n">
        <f aca="false">ASSUMPTIONS!$C$31*(1+ASSUMPTIONS!$C$37)^INT((7-1)/12)</f>
        <v>0</v>
      </c>
      <c r="I30" s="12" t="n">
        <f aca="false">ASSUMPTIONS!$C$31*(1+ASSUMPTIONS!$C$37)^INT((8-1)/12)</f>
        <v>0</v>
      </c>
      <c r="J30" s="12" t="n">
        <f aca="false">ASSUMPTIONS!$C$31*(1+ASSUMPTIONS!$C$37)^INT((9-1)/12)</f>
        <v>0</v>
      </c>
      <c r="K30" s="12" t="n">
        <f aca="false">ASSUMPTIONS!$C$31*(1+ASSUMPTIONS!$C$37)^INT((10-1)/12)</f>
        <v>0</v>
      </c>
      <c r="L30" s="12" t="n">
        <f aca="false">ASSUMPTIONS!$C$31*(1+ASSUMPTIONS!$C$37)^INT((11-1)/12)</f>
        <v>0</v>
      </c>
      <c r="M30" s="12" t="n">
        <f aca="false">ASSUMPTIONS!$C$31*(1+ASSUMPTIONS!$C$37)^INT((12-1)/12)</f>
        <v>0</v>
      </c>
      <c r="N30" s="12" t="n">
        <f aca="false">ASSUMPTIONS!$C$31*(1+ASSUMPTIONS!$C$37)^INT((13-1)/12)</f>
        <v>0</v>
      </c>
      <c r="O30" s="12" t="n">
        <f aca="false">ASSUMPTIONS!$C$31*(1+ASSUMPTIONS!$C$37)^INT((14-1)/12)</f>
        <v>0</v>
      </c>
      <c r="P30" s="12" t="n">
        <f aca="false">ASSUMPTIONS!$C$31*(1+ASSUMPTIONS!$C$37)^INT((15-1)/12)</f>
        <v>0</v>
      </c>
      <c r="Q30" s="12" t="n">
        <f aca="false">ASSUMPTIONS!$C$31*(1+ASSUMPTIONS!$C$37)^INT((16-1)/12)</f>
        <v>0</v>
      </c>
      <c r="R30" s="12" t="n">
        <f aca="false">ASSUMPTIONS!$C$31*(1+ASSUMPTIONS!$C$37)^INT((17-1)/12)</f>
        <v>0</v>
      </c>
      <c r="S30" s="12" t="n">
        <f aca="false">ASSUMPTIONS!$C$31*(1+ASSUMPTIONS!$C$37)^INT((18-1)/12)</f>
        <v>0</v>
      </c>
      <c r="T30" s="12" t="n">
        <f aca="false">ASSUMPTIONS!$C$31*(1+ASSUMPTIONS!$C$37)^INT((19-1)/12)</f>
        <v>0</v>
      </c>
      <c r="U30" s="12" t="n">
        <f aca="false">ASSUMPTIONS!$C$31*(1+ASSUMPTIONS!$C$37)^INT((20-1)/12)</f>
        <v>0</v>
      </c>
      <c r="V30" s="12" t="n">
        <f aca="false">ASSUMPTIONS!$C$31*(1+ASSUMPTIONS!$C$37)^INT((21-1)/12)</f>
        <v>0</v>
      </c>
      <c r="W30" s="12" t="n">
        <f aca="false">ASSUMPTIONS!$C$31*(1+ASSUMPTIONS!$C$37)^INT((22-1)/12)</f>
        <v>0</v>
      </c>
      <c r="X30" s="12" t="n">
        <f aca="false">ASSUMPTIONS!$C$31*(1+ASSUMPTIONS!$C$37)^INT((23-1)/12)</f>
        <v>0</v>
      </c>
      <c r="Y30" s="12" t="n">
        <f aca="false">ASSUMPTIONS!$C$31*(1+ASSUMPTIONS!$C$37)^INT((24-1)/12)</f>
        <v>0</v>
      </c>
    </row>
    <row r="31" customFormat="false" ht="15" hidden="false" customHeight="true" outlineLevel="0" collapsed="false">
      <c r="A31" s="16" t="s">
        <v>242</v>
      </c>
      <c r="B31" s="12" t="n">
        <f aca="false">ASSUMPTIONS!$C$32*(1+ASSUMPTIONS!$C$37)^INT((1-1)/12)</f>
        <v>1200</v>
      </c>
      <c r="C31" s="12" t="n">
        <f aca="false">ASSUMPTIONS!$C$32*(1+ASSUMPTIONS!$C$37)^INT((2-1)/12)</f>
        <v>1200</v>
      </c>
      <c r="D31" s="12" t="n">
        <f aca="false">ASSUMPTIONS!$C$32*(1+ASSUMPTIONS!$C$37)^INT((3-1)/12)</f>
        <v>1200</v>
      </c>
      <c r="E31" s="12" t="n">
        <f aca="false">ASSUMPTIONS!$C$32*(1+ASSUMPTIONS!$C$37)^INT((4-1)/12)</f>
        <v>1200</v>
      </c>
      <c r="F31" s="12" t="n">
        <f aca="false">ASSUMPTIONS!$C$32*(1+ASSUMPTIONS!$C$37)^INT((5-1)/12)</f>
        <v>1200</v>
      </c>
      <c r="G31" s="12" t="n">
        <f aca="false">ASSUMPTIONS!$C$32*(1+ASSUMPTIONS!$C$37)^INT((6-1)/12)</f>
        <v>1200</v>
      </c>
      <c r="H31" s="12" t="n">
        <f aca="false">ASSUMPTIONS!$C$32*(1+ASSUMPTIONS!$C$37)^INT((7-1)/12)</f>
        <v>1200</v>
      </c>
      <c r="I31" s="12" t="n">
        <f aca="false">ASSUMPTIONS!$C$32*(1+ASSUMPTIONS!$C$37)^INT((8-1)/12)</f>
        <v>1200</v>
      </c>
      <c r="J31" s="12" t="n">
        <f aca="false">ASSUMPTIONS!$C$32*(1+ASSUMPTIONS!$C$37)^INT((9-1)/12)</f>
        <v>1200</v>
      </c>
      <c r="K31" s="12" t="n">
        <f aca="false">ASSUMPTIONS!$C$32*(1+ASSUMPTIONS!$C$37)^INT((10-1)/12)</f>
        <v>1200</v>
      </c>
      <c r="L31" s="12" t="n">
        <f aca="false">ASSUMPTIONS!$C$32*(1+ASSUMPTIONS!$C$37)^INT((11-1)/12)</f>
        <v>1200</v>
      </c>
      <c r="M31" s="12" t="n">
        <f aca="false">ASSUMPTIONS!$C$32*(1+ASSUMPTIONS!$C$37)^INT((12-1)/12)</f>
        <v>1200</v>
      </c>
      <c r="N31" s="12" t="n">
        <f aca="false">ASSUMPTIONS!$C$32*(1+ASSUMPTIONS!$C$37)^INT((13-1)/12)</f>
        <v>1236</v>
      </c>
      <c r="O31" s="12" t="n">
        <f aca="false">ASSUMPTIONS!$C$32*(1+ASSUMPTIONS!$C$37)^INT((14-1)/12)</f>
        <v>1236</v>
      </c>
      <c r="P31" s="12" t="n">
        <f aca="false">ASSUMPTIONS!$C$32*(1+ASSUMPTIONS!$C$37)^INT((15-1)/12)</f>
        <v>1236</v>
      </c>
      <c r="Q31" s="12" t="n">
        <f aca="false">ASSUMPTIONS!$C$32*(1+ASSUMPTIONS!$C$37)^INT((16-1)/12)</f>
        <v>1236</v>
      </c>
      <c r="R31" s="12" t="n">
        <f aca="false">ASSUMPTIONS!$C$32*(1+ASSUMPTIONS!$C$37)^INT((17-1)/12)</f>
        <v>1236</v>
      </c>
      <c r="S31" s="12" t="n">
        <f aca="false">ASSUMPTIONS!$C$32*(1+ASSUMPTIONS!$C$37)^INT((18-1)/12)</f>
        <v>1236</v>
      </c>
      <c r="T31" s="12" t="n">
        <f aca="false">ASSUMPTIONS!$C$32*(1+ASSUMPTIONS!$C$37)^INT((19-1)/12)</f>
        <v>1236</v>
      </c>
      <c r="U31" s="12" t="n">
        <f aca="false">ASSUMPTIONS!$C$32*(1+ASSUMPTIONS!$C$37)^INT((20-1)/12)</f>
        <v>1236</v>
      </c>
      <c r="V31" s="12" t="n">
        <f aca="false">ASSUMPTIONS!$C$32*(1+ASSUMPTIONS!$C$37)^INT((21-1)/12)</f>
        <v>1236</v>
      </c>
      <c r="W31" s="12" t="n">
        <f aca="false">ASSUMPTIONS!$C$32*(1+ASSUMPTIONS!$C$37)^INT((22-1)/12)</f>
        <v>1236</v>
      </c>
      <c r="X31" s="12" t="n">
        <f aca="false">ASSUMPTIONS!$C$32*(1+ASSUMPTIONS!$C$37)^INT((23-1)/12)</f>
        <v>1236</v>
      </c>
      <c r="Y31" s="12" t="n">
        <f aca="false">ASSUMPTIONS!$C$32*(1+ASSUMPTIONS!$C$37)^INT((24-1)/12)</f>
        <v>1236</v>
      </c>
    </row>
    <row r="32" customFormat="false" ht="15" hidden="false" customHeight="true" outlineLevel="0" collapsed="false">
      <c r="A32" s="16" t="s">
        <v>243</v>
      </c>
      <c r="B32" s="12" t="n">
        <f aca="false">ASSUMPTIONS!$C$33*(1+ASSUMPTIONS!$C$37)^INT((1-1)/12)</f>
        <v>350</v>
      </c>
      <c r="C32" s="12" t="n">
        <f aca="false">ASSUMPTIONS!$C$33*(1+ASSUMPTIONS!$C$37)^INT((2-1)/12)</f>
        <v>350</v>
      </c>
      <c r="D32" s="12" t="n">
        <f aca="false">ASSUMPTIONS!$C$33*(1+ASSUMPTIONS!$C$37)^INT((3-1)/12)</f>
        <v>350</v>
      </c>
      <c r="E32" s="12" t="n">
        <f aca="false">ASSUMPTIONS!$C$33*(1+ASSUMPTIONS!$C$37)^INT((4-1)/12)</f>
        <v>350</v>
      </c>
      <c r="F32" s="12" t="n">
        <f aca="false">ASSUMPTIONS!$C$33*(1+ASSUMPTIONS!$C$37)^INT((5-1)/12)</f>
        <v>350</v>
      </c>
      <c r="G32" s="12" t="n">
        <f aca="false">ASSUMPTIONS!$C$33*(1+ASSUMPTIONS!$C$37)^INT((6-1)/12)</f>
        <v>350</v>
      </c>
      <c r="H32" s="12" t="n">
        <f aca="false">ASSUMPTIONS!$C$33*(1+ASSUMPTIONS!$C$37)^INT((7-1)/12)</f>
        <v>350</v>
      </c>
      <c r="I32" s="12" t="n">
        <f aca="false">ASSUMPTIONS!$C$33*(1+ASSUMPTIONS!$C$37)^INT((8-1)/12)</f>
        <v>350</v>
      </c>
      <c r="J32" s="12" t="n">
        <f aca="false">ASSUMPTIONS!$C$33*(1+ASSUMPTIONS!$C$37)^INT((9-1)/12)</f>
        <v>350</v>
      </c>
      <c r="K32" s="12" t="n">
        <f aca="false">ASSUMPTIONS!$C$33*(1+ASSUMPTIONS!$C$37)^INT((10-1)/12)</f>
        <v>350</v>
      </c>
      <c r="L32" s="12" t="n">
        <f aca="false">ASSUMPTIONS!$C$33*(1+ASSUMPTIONS!$C$37)^INT((11-1)/12)</f>
        <v>350</v>
      </c>
      <c r="M32" s="12" t="n">
        <f aca="false">ASSUMPTIONS!$C$33*(1+ASSUMPTIONS!$C$37)^INT((12-1)/12)</f>
        <v>350</v>
      </c>
      <c r="N32" s="12" t="n">
        <f aca="false">ASSUMPTIONS!$C$33*(1+ASSUMPTIONS!$C$37)^INT((13-1)/12)</f>
        <v>360.5</v>
      </c>
      <c r="O32" s="12" t="n">
        <f aca="false">ASSUMPTIONS!$C$33*(1+ASSUMPTIONS!$C$37)^INT((14-1)/12)</f>
        <v>360.5</v>
      </c>
      <c r="P32" s="12" t="n">
        <f aca="false">ASSUMPTIONS!$C$33*(1+ASSUMPTIONS!$C$37)^INT((15-1)/12)</f>
        <v>360.5</v>
      </c>
      <c r="Q32" s="12" t="n">
        <f aca="false">ASSUMPTIONS!$C$33*(1+ASSUMPTIONS!$C$37)^INT((16-1)/12)</f>
        <v>360.5</v>
      </c>
      <c r="R32" s="12" t="n">
        <f aca="false">ASSUMPTIONS!$C$33*(1+ASSUMPTIONS!$C$37)^INT((17-1)/12)</f>
        <v>360.5</v>
      </c>
      <c r="S32" s="12" t="n">
        <f aca="false">ASSUMPTIONS!$C$33*(1+ASSUMPTIONS!$C$37)^INT((18-1)/12)</f>
        <v>360.5</v>
      </c>
      <c r="T32" s="12" t="n">
        <f aca="false">ASSUMPTIONS!$C$33*(1+ASSUMPTIONS!$C$37)^INT((19-1)/12)</f>
        <v>360.5</v>
      </c>
      <c r="U32" s="12" t="n">
        <f aca="false">ASSUMPTIONS!$C$33*(1+ASSUMPTIONS!$C$37)^INT((20-1)/12)</f>
        <v>360.5</v>
      </c>
      <c r="V32" s="12" t="n">
        <f aca="false">ASSUMPTIONS!$C$33*(1+ASSUMPTIONS!$C$37)^INT((21-1)/12)</f>
        <v>360.5</v>
      </c>
      <c r="W32" s="12" t="n">
        <f aca="false">ASSUMPTIONS!$C$33*(1+ASSUMPTIONS!$C$37)^INT((22-1)/12)</f>
        <v>360.5</v>
      </c>
      <c r="X32" s="12" t="n">
        <f aca="false">ASSUMPTIONS!$C$33*(1+ASSUMPTIONS!$C$37)^INT((23-1)/12)</f>
        <v>360.5</v>
      </c>
      <c r="Y32" s="12" t="n">
        <f aca="false">ASSUMPTIONS!$C$33*(1+ASSUMPTIONS!$C$37)^INT((24-1)/12)</f>
        <v>360.5</v>
      </c>
    </row>
    <row r="33" customFormat="false" ht="15" hidden="false" customHeight="true" outlineLevel="0" collapsed="false">
      <c r="A33" s="16" t="s">
        <v>244</v>
      </c>
      <c r="B33" s="12" t="n">
        <f aca="false">ASSUMPTIONS!$C$34*(1+ASSUMPTIONS!$C$37)^INT((1-1)/12)</f>
        <v>250</v>
      </c>
      <c r="C33" s="12" t="n">
        <f aca="false">ASSUMPTIONS!$C$34*(1+ASSUMPTIONS!$C$37)^INT((2-1)/12)</f>
        <v>250</v>
      </c>
      <c r="D33" s="12" t="n">
        <f aca="false">ASSUMPTIONS!$C$34*(1+ASSUMPTIONS!$C$37)^INT((3-1)/12)</f>
        <v>250</v>
      </c>
      <c r="E33" s="12" t="n">
        <f aca="false">ASSUMPTIONS!$C$34*(1+ASSUMPTIONS!$C$37)^INT((4-1)/12)</f>
        <v>250</v>
      </c>
      <c r="F33" s="12" t="n">
        <f aca="false">ASSUMPTIONS!$C$34*(1+ASSUMPTIONS!$C$37)^INT((5-1)/12)</f>
        <v>250</v>
      </c>
      <c r="G33" s="12" t="n">
        <f aca="false">ASSUMPTIONS!$C$34*(1+ASSUMPTIONS!$C$37)^INT((6-1)/12)</f>
        <v>250</v>
      </c>
      <c r="H33" s="12" t="n">
        <f aca="false">ASSUMPTIONS!$C$34*(1+ASSUMPTIONS!$C$37)^INT((7-1)/12)</f>
        <v>250</v>
      </c>
      <c r="I33" s="12" t="n">
        <f aca="false">ASSUMPTIONS!$C$34*(1+ASSUMPTIONS!$C$37)^INT((8-1)/12)</f>
        <v>250</v>
      </c>
      <c r="J33" s="12" t="n">
        <f aca="false">ASSUMPTIONS!$C$34*(1+ASSUMPTIONS!$C$37)^INT((9-1)/12)</f>
        <v>250</v>
      </c>
      <c r="K33" s="12" t="n">
        <f aca="false">ASSUMPTIONS!$C$34*(1+ASSUMPTIONS!$C$37)^INT((10-1)/12)</f>
        <v>250</v>
      </c>
      <c r="L33" s="12" t="n">
        <f aca="false">ASSUMPTIONS!$C$34*(1+ASSUMPTIONS!$C$37)^INT((11-1)/12)</f>
        <v>250</v>
      </c>
      <c r="M33" s="12" t="n">
        <f aca="false">ASSUMPTIONS!$C$34*(1+ASSUMPTIONS!$C$37)^INT((12-1)/12)</f>
        <v>250</v>
      </c>
      <c r="N33" s="12" t="n">
        <f aca="false">ASSUMPTIONS!$C$34*(1+ASSUMPTIONS!$C$37)^INT((13-1)/12)</f>
        <v>257.5</v>
      </c>
      <c r="O33" s="12" t="n">
        <f aca="false">ASSUMPTIONS!$C$34*(1+ASSUMPTIONS!$C$37)^INT((14-1)/12)</f>
        <v>257.5</v>
      </c>
      <c r="P33" s="12" t="n">
        <f aca="false">ASSUMPTIONS!$C$34*(1+ASSUMPTIONS!$C$37)^INT((15-1)/12)</f>
        <v>257.5</v>
      </c>
      <c r="Q33" s="12" t="n">
        <f aca="false">ASSUMPTIONS!$C$34*(1+ASSUMPTIONS!$C$37)^INT((16-1)/12)</f>
        <v>257.5</v>
      </c>
      <c r="R33" s="12" t="n">
        <f aca="false">ASSUMPTIONS!$C$34*(1+ASSUMPTIONS!$C$37)^INT((17-1)/12)</f>
        <v>257.5</v>
      </c>
      <c r="S33" s="12" t="n">
        <f aca="false">ASSUMPTIONS!$C$34*(1+ASSUMPTIONS!$C$37)^INT((18-1)/12)</f>
        <v>257.5</v>
      </c>
      <c r="T33" s="12" t="n">
        <f aca="false">ASSUMPTIONS!$C$34*(1+ASSUMPTIONS!$C$37)^INT((19-1)/12)</f>
        <v>257.5</v>
      </c>
      <c r="U33" s="12" t="n">
        <f aca="false">ASSUMPTIONS!$C$34*(1+ASSUMPTIONS!$C$37)^INT((20-1)/12)</f>
        <v>257.5</v>
      </c>
      <c r="V33" s="12" t="n">
        <f aca="false">ASSUMPTIONS!$C$34*(1+ASSUMPTIONS!$C$37)^INT((21-1)/12)</f>
        <v>257.5</v>
      </c>
      <c r="W33" s="12" t="n">
        <f aca="false">ASSUMPTIONS!$C$34*(1+ASSUMPTIONS!$C$37)^INT((22-1)/12)</f>
        <v>257.5</v>
      </c>
      <c r="X33" s="12" t="n">
        <f aca="false">ASSUMPTIONS!$C$34*(1+ASSUMPTIONS!$C$37)^INT((23-1)/12)</f>
        <v>257.5</v>
      </c>
      <c r="Y33" s="12" t="n">
        <f aca="false">ASSUMPTIONS!$C$34*(1+ASSUMPTIONS!$C$37)^INT((24-1)/12)</f>
        <v>257.5</v>
      </c>
    </row>
    <row r="34" customFormat="false" ht="15" hidden="false" customHeight="true" outlineLevel="0" collapsed="false">
      <c r="A34" s="16" t="s">
        <v>245</v>
      </c>
      <c r="B34" s="12" t="n">
        <f aca="false">ASSUMPTIONS!$C$35*(1+ASSUMPTIONS!$C$37)^INT((1-1)/12)</f>
        <v>180</v>
      </c>
      <c r="C34" s="12" t="n">
        <f aca="false">ASSUMPTIONS!$C$35*(1+ASSUMPTIONS!$C$37)^INT((2-1)/12)</f>
        <v>180</v>
      </c>
      <c r="D34" s="12" t="n">
        <f aca="false">ASSUMPTIONS!$C$35*(1+ASSUMPTIONS!$C$37)^INT((3-1)/12)</f>
        <v>180</v>
      </c>
      <c r="E34" s="12" t="n">
        <f aca="false">ASSUMPTIONS!$C$35*(1+ASSUMPTIONS!$C$37)^INT((4-1)/12)</f>
        <v>180</v>
      </c>
      <c r="F34" s="12" t="n">
        <f aca="false">ASSUMPTIONS!$C$35*(1+ASSUMPTIONS!$C$37)^INT((5-1)/12)</f>
        <v>180</v>
      </c>
      <c r="G34" s="12" t="n">
        <f aca="false">ASSUMPTIONS!$C$35*(1+ASSUMPTIONS!$C$37)^INT((6-1)/12)</f>
        <v>180</v>
      </c>
      <c r="H34" s="12" t="n">
        <f aca="false">ASSUMPTIONS!$C$35*(1+ASSUMPTIONS!$C$37)^INT((7-1)/12)</f>
        <v>180</v>
      </c>
      <c r="I34" s="12" t="n">
        <f aca="false">ASSUMPTIONS!$C$35*(1+ASSUMPTIONS!$C$37)^INT((8-1)/12)</f>
        <v>180</v>
      </c>
      <c r="J34" s="12" t="n">
        <f aca="false">ASSUMPTIONS!$C$35*(1+ASSUMPTIONS!$C$37)^INT((9-1)/12)</f>
        <v>180</v>
      </c>
      <c r="K34" s="12" t="n">
        <f aca="false">ASSUMPTIONS!$C$35*(1+ASSUMPTIONS!$C$37)^INT((10-1)/12)</f>
        <v>180</v>
      </c>
      <c r="L34" s="12" t="n">
        <f aca="false">ASSUMPTIONS!$C$35*(1+ASSUMPTIONS!$C$37)^INT((11-1)/12)</f>
        <v>180</v>
      </c>
      <c r="M34" s="12" t="n">
        <f aca="false">ASSUMPTIONS!$C$35*(1+ASSUMPTIONS!$C$37)^INT((12-1)/12)</f>
        <v>180</v>
      </c>
      <c r="N34" s="12" t="n">
        <f aca="false">ASSUMPTIONS!$C$35*(1+ASSUMPTIONS!$C$37)^INT((13-1)/12)</f>
        <v>185.4</v>
      </c>
      <c r="O34" s="12" t="n">
        <f aca="false">ASSUMPTIONS!$C$35*(1+ASSUMPTIONS!$C$37)^INT((14-1)/12)</f>
        <v>185.4</v>
      </c>
      <c r="P34" s="12" t="n">
        <f aca="false">ASSUMPTIONS!$C$35*(1+ASSUMPTIONS!$C$37)^INT((15-1)/12)</f>
        <v>185.4</v>
      </c>
      <c r="Q34" s="12" t="n">
        <f aca="false">ASSUMPTIONS!$C$35*(1+ASSUMPTIONS!$C$37)^INT((16-1)/12)</f>
        <v>185.4</v>
      </c>
      <c r="R34" s="12" t="n">
        <f aca="false">ASSUMPTIONS!$C$35*(1+ASSUMPTIONS!$C$37)^INT((17-1)/12)</f>
        <v>185.4</v>
      </c>
      <c r="S34" s="12" t="n">
        <f aca="false">ASSUMPTIONS!$C$35*(1+ASSUMPTIONS!$C$37)^INT((18-1)/12)</f>
        <v>185.4</v>
      </c>
      <c r="T34" s="12" t="n">
        <f aca="false">ASSUMPTIONS!$C$35*(1+ASSUMPTIONS!$C$37)^INT((19-1)/12)</f>
        <v>185.4</v>
      </c>
      <c r="U34" s="12" t="n">
        <f aca="false">ASSUMPTIONS!$C$35*(1+ASSUMPTIONS!$C$37)^INT((20-1)/12)</f>
        <v>185.4</v>
      </c>
      <c r="V34" s="12" t="n">
        <f aca="false">ASSUMPTIONS!$C$35*(1+ASSUMPTIONS!$C$37)^INT((21-1)/12)</f>
        <v>185.4</v>
      </c>
      <c r="W34" s="12" t="n">
        <f aca="false">ASSUMPTIONS!$C$35*(1+ASSUMPTIONS!$C$37)^INT((22-1)/12)</f>
        <v>185.4</v>
      </c>
      <c r="X34" s="12" t="n">
        <f aca="false">ASSUMPTIONS!$C$35*(1+ASSUMPTIONS!$C$37)^INT((23-1)/12)</f>
        <v>185.4</v>
      </c>
      <c r="Y34" s="12" t="n">
        <f aca="false">ASSUMPTIONS!$C$35*(1+ASSUMPTIONS!$C$37)^INT((24-1)/12)</f>
        <v>185.4</v>
      </c>
    </row>
    <row r="35" customFormat="false" ht="15" hidden="false" customHeight="true" outlineLevel="0" collapsed="false">
      <c r="A35" s="16" t="s">
        <v>246</v>
      </c>
      <c r="B35" s="12" t="n">
        <f aca="false">ASSUMPTIONS!$C$36*(1+ASSUMPTIONS!$C$37)^INT((1-1)/12)</f>
        <v>200</v>
      </c>
      <c r="C35" s="12" t="n">
        <f aca="false">ASSUMPTIONS!$C$36*(1+ASSUMPTIONS!$C$37)^INT((2-1)/12)</f>
        <v>200</v>
      </c>
      <c r="D35" s="12" t="n">
        <f aca="false">ASSUMPTIONS!$C$36*(1+ASSUMPTIONS!$C$37)^INT((3-1)/12)</f>
        <v>200</v>
      </c>
      <c r="E35" s="12" t="n">
        <f aca="false">ASSUMPTIONS!$C$36*(1+ASSUMPTIONS!$C$37)^INT((4-1)/12)</f>
        <v>200</v>
      </c>
      <c r="F35" s="12" t="n">
        <f aca="false">ASSUMPTIONS!$C$36*(1+ASSUMPTIONS!$C$37)^INT((5-1)/12)</f>
        <v>200</v>
      </c>
      <c r="G35" s="12" t="n">
        <f aca="false">ASSUMPTIONS!$C$36*(1+ASSUMPTIONS!$C$37)^INT((6-1)/12)</f>
        <v>200</v>
      </c>
      <c r="H35" s="12" t="n">
        <f aca="false">ASSUMPTIONS!$C$36*(1+ASSUMPTIONS!$C$37)^INT((7-1)/12)</f>
        <v>200</v>
      </c>
      <c r="I35" s="12" t="n">
        <f aca="false">ASSUMPTIONS!$C$36*(1+ASSUMPTIONS!$C$37)^INT((8-1)/12)</f>
        <v>200</v>
      </c>
      <c r="J35" s="12" t="n">
        <f aca="false">ASSUMPTIONS!$C$36*(1+ASSUMPTIONS!$C$37)^INT((9-1)/12)</f>
        <v>200</v>
      </c>
      <c r="K35" s="12" t="n">
        <f aca="false">ASSUMPTIONS!$C$36*(1+ASSUMPTIONS!$C$37)^INT((10-1)/12)</f>
        <v>200</v>
      </c>
      <c r="L35" s="12" t="n">
        <f aca="false">ASSUMPTIONS!$C$36*(1+ASSUMPTIONS!$C$37)^INT((11-1)/12)</f>
        <v>200</v>
      </c>
      <c r="M35" s="12" t="n">
        <f aca="false">ASSUMPTIONS!$C$36*(1+ASSUMPTIONS!$C$37)^INT((12-1)/12)</f>
        <v>200</v>
      </c>
      <c r="N35" s="12" t="n">
        <f aca="false">ASSUMPTIONS!$C$36*(1+ASSUMPTIONS!$C$37)^INT((13-1)/12)</f>
        <v>206</v>
      </c>
      <c r="O35" s="12" t="n">
        <f aca="false">ASSUMPTIONS!$C$36*(1+ASSUMPTIONS!$C$37)^INT((14-1)/12)</f>
        <v>206</v>
      </c>
      <c r="P35" s="12" t="n">
        <f aca="false">ASSUMPTIONS!$C$36*(1+ASSUMPTIONS!$C$37)^INT((15-1)/12)</f>
        <v>206</v>
      </c>
      <c r="Q35" s="12" t="n">
        <f aca="false">ASSUMPTIONS!$C$36*(1+ASSUMPTIONS!$C$37)^INT((16-1)/12)</f>
        <v>206</v>
      </c>
      <c r="R35" s="12" t="n">
        <f aca="false">ASSUMPTIONS!$C$36*(1+ASSUMPTIONS!$C$37)^INT((17-1)/12)</f>
        <v>206</v>
      </c>
      <c r="S35" s="12" t="n">
        <f aca="false">ASSUMPTIONS!$C$36*(1+ASSUMPTIONS!$C$37)^INT((18-1)/12)</f>
        <v>206</v>
      </c>
      <c r="T35" s="12" t="n">
        <f aca="false">ASSUMPTIONS!$C$36*(1+ASSUMPTIONS!$C$37)^INT((19-1)/12)</f>
        <v>206</v>
      </c>
      <c r="U35" s="12" t="n">
        <f aca="false">ASSUMPTIONS!$C$36*(1+ASSUMPTIONS!$C$37)^INT((20-1)/12)</f>
        <v>206</v>
      </c>
      <c r="V35" s="12" t="n">
        <f aca="false">ASSUMPTIONS!$C$36*(1+ASSUMPTIONS!$C$37)^INT((21-1)/12)</f>
        <v>206</v>
      </c>
      <c r="W35" s="12" t="n">
        <f aca="false">ASSUMPTIONS!$C$36*(1+ASSUMPTIONS!$C$37)^INT((22-1)/12)</f>
        <v>206</v>
      </c>
      <c r="X35" s="12" t="n">
        <f aca="false">ASSUMPTIONS!$C$36*(1+ASSUMPTIONS!$C$37)^INT((23-1)/12)</f>
        <v>206</v>
      </c>
      <c r="Y35" s="12" t="n">
        <f aca="false">ASSUMPTIONS!$C$36*(1+ASSUMPTIONS!$C$37)^INT((24-1)/12)</f>
        <v>206</v>
      </c>
    </row>
    <row r="36" customFormat="false" ht="15" hidden="false" customHeight="true" outlineLevel="0" collapsed="false">
      <c r="A36" s="3" t="s">
        <v>247</v>
      </c>
      <c r="B36" s="12" t="n">
        <f aca="false">SUM(B26:B35)</f>
        <v>2720</v>
      </c>
      <c r="C36" s="12" t="n">
        <f aca="false">SUM(C26:C35)</f>
        <v>2720</v>
      </c>
      <c r="D36" s="12" t="n">
        <f aca="false">SUM(D26:D35)</f>
        <v>2720</v>
      </c>
      <c r="E36" s="12" t="n">
        <f aca="false">SUM(E26:E35)</f>
        <v>2720</v>
      </c>
      <c r="F36" s="12" t="n">
        <f aca="false">SUM(F26:F35)</f>
        <v>2720</v>
      </c>
      <c r="G36" s="12" t="n">
        <f aca="false">SUM(G26:G35)</f>
        <v>2720</v>
      </c>
      <c r="H36" s="12" t="n">
        <f aca="false">SUM(H26:H35)</f>
        <v>2720</v>
      </c>
      <c r="I36" s="12" t="n">
        <f aca="false">SUM(I26:I35)</f>
        <v>2720</v>
      </c>
      <c r="J36" s="12" t="n">
        <f aca="false">SUM(J26:J35)</f>
        <v>2720</v>
      </c>
      <c r="K36" s="12" t="n">
        <f aca="false">SUM(K26:K35)</f>
        <v>2720</v>
      </c>
      <c r="L36" s="12" t="n">
        <f aca="false">SUM(L26:L35)</f>
        <v>2720</v>
      </c>
      <c r="M36" s="12" t="n">
        <f aca="false">SUM(M26:M35)</f>
        <v>2720</v>
      </c>
      <c r="N36" s="12" t="n">
        <f aca="false">SUM(N26:N35)</f>
        <v>2801.6</v>
      </c>
      <c r="O36" s="12" t="n">
        <f aca="false">SUM(O26:O35)</f>
        <v>2801.6</v>
      </c>
      <c r="P36" s="12" t="n">
        <f aca="false">SUM(P26:P35)</f>
        <v>2801.6</v>
      </c>
      <c r="Q36" s="12" t="n">
        <f aca="false">SUM(Q26:Q35)</f>
        <v>2801.6</v>
      </c>
      <c r="R36" s="12" t="n">
        <f aca="false">SUM(R26:R35)</f>
        <v>2801.6</v>
      </c>
      <c r="S36" s="12" t="n">
        <f aca="false">SUM(S26:S35)</f>
        <v>2801.6</v>
      </c>
      <c r="T36" s="12" t="n">
        <f aca="false">SUM(T26:T35)</f>
        <v>2801.6</v>
      </c>
      <c r="U36" s="12" t="n">
        <f aca="false">SUM(U26:U35)</f>
        <v>2801.6</v>
      </c>
      <c r="V36" s="12" t="n">
        <f aca="false">SUM(V26:V35)</f>
        <v>2801.6</v>
      </c>
      <c r="W36" s="12" t="n">
        <f aca="false">SUM(W26:W35)</f>
        <v>2801.6</v>
      </c>
      <c r="X36" s="12" t="n">
        <f aca="false">SUM(X26:X35)</f>
        <v>2801.6</v>
      </c>
      <c r="Y36" s="12" t="n">
        <f aca="false">SUM(Y26:Y35)</f>
        <v>2801.6</v>
      </c>
    </row>
    <row r="38" customFormat="false" ht="15" hidden="false" customHeight="true" outlineLevel="0" collapsed="false">
      <c r="A38" s="3" t="s">
        <v>248</v>
      </c>
      <c r="B38" s="12" t="n">
        <f aca="false">B18-B24-B36</f>
        <v>1157.54127519428</v>
      </c>
      <c r="C38" s="12" t="n">
        <f aca="false">C18-C24-C36</f>
        <v>1151.69272217251</v>
      </c>
      <c r="D38" s="12" t="n">
        <f aca="false">D18-D24-D36</f>
        <v>1145.74669326704</v>
      </c>
      <c r="E38" s="12" t="n">
        <f aca="false">E18-E24-E36</f>
        <v>1139.70143391197</v>
      </c>
      <c r="F38" s="12" t="n">
        <f aca="false">F18-F24-F36</f>
        <v>1133.55515639959</v>
      </c>
      <c r="G38" s="12" t="n">
        <f aca="false">G18-G24-G36</f>
        <v>1127.30603923705</v>
      </c>
      <c r="H38" s="12" t="n">
        <f aca="false">H18-H24-H36</f>
        <v>1120.95222649036</v>
      </c>
      <c r="I38" s="12" t="n">
        <f aca="false">I18-I24-I36</f>
        <v>1114.49182711541</v>
      </c>
      <c r="J38" s="12" t="n">
        <f aca="false">J18-J24-J36</f>
        <v>1107.92291427591</v>
      </c>
      <c r="K38" s="12" t="n">
        <f aca="false">K18-K24-K36</f>
        <v>1101.24352464779</v>
      </c>
      <c r="L38" s="12" t="n">
        <f aca="false">L18-L24-L36</f>
        <v>1094.45165770998</v>
      </c>
      <c r="M38" s="12" t="n">
        <f aca="false">M18-M24-M36</f>
        <v>1087.54527502109</v>
      </c>
      <c r="N38" s="12" t="n">
        <f aca="false">N18-N24-N36</f>
        <v>998.922299481998</v>
      </c>
      <c r="O38" s="12" t="n">
        <f aca="false">O18-O24-O36</f>
        <v>991.780614583723</v>
      </c>
      <c r="P38" s="12" t="n">
        <f aca="false">P18-P24-P36</f>
        <v>984.518063640594</v>
      </c>
      <c r="Q38" s="12" t="n">
        <f aca="false">Q18-Q24-Q36</f>
        <v>977.132449008252</v>
      </c>
      <c r="R38" s="12" t="n">
        <f aca="false">R18-R24-R36</f>
        <v>969.621531286206</v>
      </c>
      <c r="S38" s="12" t="n">
        <f aca="false">S18-S24-S36</f>
        <v>961.983028504698</v>
      </c>
      <c r="T38" s="12" t="n">
        <f aca="false">T18-T24-T36</f>
        <v>954.21461529548</v>
      </c>
      <c r="U38" s="12" t="n">
        <f aca="false">U18-U24-U36</f>
        <v>946.313922046279</v>
      </c>
      <c r="V38" s="12" t="n">
        <f aca="false">V18-V24-V36</f>
        <v>938.278534038539</v>
      </c>
      <c r="W38" s="12" t="n">
        <f aca="false">W18-W24-W36</f>
        <v>930.105990568153</v>
      </c>
      <c r="X38" s="12" t="n">
        <f aca="false">X18-X24-X36</f>
        <v>921.793784048844</v>
      </c>
      <c r="Y38" s="12" t="n">
        <f aca="false">Y18-Y24-Y36</f>
        <v>913.339359097842</v>
      </c>
    </row>
    <row r="39" customFormat="false" ht="15" hidden="false" customHeight="true" outlineLevel="0" collapsed="false">
      <c r="A39" s="3" t="s">
        <v>249</v>
      </c>
      <c r="B39" s="11" t="n">
        <f aca="false">IF(B11=0,0,B38/B11)</f>
        <v>0.0752165979704824</v>
      </c>
      <c r="C39" s="11" t="n">
        <f aca="false">IF(C11=0,0,C38/C11)</f>
        <v>0.0748365611884043</v>
      </c>
      <c r="D39" s="11" t="n">
        <f aca="false">IF(D11=0,0,D38/D11)</f>
        <v>0.0744501904599579</v>
      </c>
      <c r="E39" s="11" t="n">
        <f aca="false">IF(E11=0,0,E38/E11)</f>
        <v>0.0740573717741092</v>
      </c>
      <c r="F39" s="11" t="n">
        <f aca="false">IF(F11=0,0,F38/F11)</f>
        <v>0.0736579889662815</v>
      </c>
      <c r="G39" s="11" t="n">
        <f aca="false">IF(G11=0,0,G38/G11)</f>
        <v>0.0732519236765524</v>
      </c>
      <c r="H39" s="11" t="n">
        <f aca="false">IF(H11=0,0,H38/H11)</f>
        <v>0.0728390553070269</v>
      </c>
      <c r="I39" s="11" t="n">
        <f aca="false">IF(I11=0,0,I38/I11)</f>
        <v>0.0724192609783687</v>
      </c>
      <c r="J39" s="11" t="n">
        <f aca="false">IF(J11=0,0,J38/J11)</f>
        <v>0.0719924154854778</v>
      </c>
      <c r="K39" s="11" t="n">
        <f aca="false">IF(K11=0,0,K38/K11)</f>
        <v>0.071558391252293</v>
      </c>
      <c r="L39" s="11" t="n">
        <f aca="false">IF(L11=0,0,L38/L11)</f>
        <v>0.071117058285704</v>
      </c>
      <c r="M39" s="11" t="n">
        <f aca="false">IF(M11=0,0,M38/M11)</f>
        <v>0.0706682841285553</v>
      </c>
      <c r="N39" s="11" t="n">
        <f aca="false">IF(N11=0,0,N38/N11)</f>
        <v>0.0649095964126869</v>
      </c>
      <c r="O39" s="11" t="n">
        <f aca="false">IF(O11=0,0,O38/O11)</f>
        <v>0.0644455324062131</v>
      </c>
      <c r="P39" s="11" t="n">
        <f aca="false">IF(P11=0,0,P38/P11)</f>
        <v>0.0639736145694709</v>
      </c>
      <c r="Q39" s="11" t="n">
        <f aca="false">IF(Q11=0,0,Q38/Q11)</f>
        <v>0.063493700100354</v>
      </c>
      <c r="R39" s="11" t="n">
        <f aca="false">IF(R11=0,0,R38/R11)</f>
        <v>0.0630056434834583</v>
      </c>
      <c r="S39" s="11" t="n">
        <f aca="false">IF(S11=0,0,S38/S11)</f>
        <v>0.0625092964372445</v>
      </c>
      <c r="T39" s="11" t="n">
        <f aca="false">IF(T11=0,0,T38/T11)</f>
        <v>0.0620045078601562</v>
      </c>
      <c r="U39" s="11" t="n">
        <f aca="false">IF(U11=0,0,U38/U11)</f>
        <v>0.0614911237756763</v>
      </c>
      <c r="V39" s="11" t="n">
        <f aca="false">IF(V11=0,0,V38/V11)</f>
        <v>0.0609689872762987</v>
      </c>
      <c r="W39" s="11" t="n">
        <f aca="false">IF(W11=0,0,W38/W11)</f>
        <v>0.0604379384663933</v>
      </c>
      <c r="X39" s="11" t="n">
        <f aca="false">IF(X11=0,0,X38/X11)</f>
        <v>0.0598978144039442</v>
      </c>
      <c r="Y39" s="11" t="n">
        <f aca="false">IF(Y11=0,0,Y38/Y11)</f>
        <v>0.0593484490411372</v>
      </c>
    </row>
    <row r="40" customFormat="false" ht="15" hidden="false" customHeight="true" outlineLevel="0" collapsed="false">
      <c r="A40" s="16" t="s">
        <v>250</v>
      </c>
      <c r="B40" s="12" t="n">
        <f aca="false">IF(B8=0,0,B11/B8)</f>
        <v>381.522804967129</v>
      </c>
      <c r="C40" s="12" t="n">
        <f aca="false">IF(C8=0,0,C11/C8)</f>
        <v>381.522804967129</v>
      </c>
      <c r="D40" s="12" t="n">
        <f aca="false">IF(D8=0,0,D11/D8)</f>
        <v>381.522804967129</v>
      </c>
      <c r="E40" s="12" t="n">
        <f aca="false">IF(E8=0,0,E11/E8)</f>
        <v>381.522804967129</v>
      </c>
      <c r="F40" s="12" t="n">
        <f aca="false">IF(F8=0,0,F11/F8)</f>
        <v>381.522804967129</v>
      </c>
      <c r="G40" s="12" t="n">
        <f aca="false">IF(G8=0,0,G11/G8)</f>
        <v>381.522804967129</v>
      </c>
      <c r="H40" s="12" t="n">
        <f aca="false">IF(H8=0,0,H11/H8)</f>
        <v>381.522804967129</v>
      </c>
      <c r="I40" s="12" t="n">
        <f aca="false">IF(I8=0,0,I11/I8)</f>
        <v>381.522804967129</v>
      </c>
      <c r="J40" s="12" t="n">
        <f aca="false">IF(J8=0,0,J11/J8)</f>
        <v>381.522804967129</v>
      </c>
      <c r="K40" s="12" t="n">
        <f aca="false">IF(K8=0,0,K11/K8)</f>
        <v>381.522804967129</v>
      </c>
      <c r="L40" s="12" t="n">
        <f aca="false">IF(L8=0,0,L11/L8)</f>
        <v>381.522804967129</v>
      </c>
      <c r="M40" s="12" t="n">
        <f aca="false">IF(M8=0,0,M11/M8)</f>
        <v>381.522804967129</v>
      </c>
      <c r="N40" s="12" t="n">
        <f aca="false">IF(N8=0,0,N11/N8)</f>
        <v>381.522804967129</v>
      </c>
      <c r="O40" s="12" t="n">
        <f aca="false">IF(O8=0,0,O11/O8)</f>
        <v>381.522804967129</v>
      </c>
      <c r="P40" s="12" t="n">
        <f aca="false">IF(P8=0,0,P11/P8)</f>
        <v>381.522804967129</v>
      </c>
      <c r="Q40" s="12" t="n">
        <f aca="false">IF(Q8=0,0,Q11/Q8)</f>
        <v>381.522804967129</v>
      </c>
      <c r="R40" s="12" t="n">
        <f aca="false">IF(R8=0,0,R11/R8)</f>
        <v>381.522804967129</v>
      </c>
      <c r="S40" s="12" t="n">
        <f aca="false">IF(S8=0,0,S11/S8)</f>
        <v>381.522804967129</v>
      </c>
      <c r="T40" s="12" t="n">
        <f aca="false">IF(T8=0,0,T11/T8)</f>
        <v>381.522804967129</v>
      </c>
      <c r="U40" s="12" t="n">
        <f aca="false">IF(U8=0,0,U11/U8)</f>
        <v>381.522804967129</v>
      </c>
      <c r="V40" s="12" t="n">
        <f aca="false">IF(V8=0,0,V11/V8)</f>
        <v>381.522804967129</v>
      </c>
      <c r="W40" s="12" t="n">
        <f aca="false">IF(W8=0,0,W11/W8)</f>
        <v>381.522804967129</v>
      </c>
      <c r="X40" s="12" t="n">
        <f aca="false">IF(X8=0,0,X11/X8)</f>
        <v>381.522804967129</v>
      </c>
      <c r="Y40" s="12" t="n">
        <f aca="false">IF(Y8=0,0,Y11/Y8)</f>
        <v>381.522804967129</v>
      </c>
    </row>
    <row r="42" customFormat="false" ht="15" hidden="false" customHeight="true" outlineLevel="0" collapsed="false">
      <c r="A42" s="3" t="s">
        <v>251</v>
      </c>
      <c r="B42" s="12" t="n">
        <f aca="false">SUM(B11:Y11)</f>
        <v>369346.545234136</v>
      </c>
    </row>
    <row r="43" customFormat="false" ht="15" hidden="false" customHeight="true" outlineLevel="0" collapsed="false">
      <c r="A43" s="3" t="s">
        <v>252</v>
      </c>
      <c r="B43" s="12" t="n">
        <f aca="false">SUM(B38:Y38)</f>
        <v>24970.1549370436</v>
      </c>
    </row>
    <row r="44" customFormat="false" ht="15" hidden="false" customHeight="true" outlineLevel="0" collapsed="false">
      <c r="A44" s="3" t="s">
        <v>253</v>
      </c>
      <c r="B44" s="12" t="n">
        <f aca="false">AVERAGE(B38:Y38)</f>
        <v>1040.42312237682</v>
      </c>
    </row>
    <row r="45" customFormat="false" ht="15" hidden="false" customHeight="true" outlineLevel="0" collapsed="false">
      <c r="A45" s="3" t="s">
        <v>254</v>
      </c>
      <c r="B45" s="13" t="n">
        <f aca="false">MAX(B9:Y9)</f>
        <v>1683.73447938654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6" min="2" style="1" width="11"/>
  </cols>
  <sheetData>
    <row r="1" customFormat="false" ht="21.75" hidden="false" customHeight="true" outlineLevel="0" collapsed="false">
      <c r="A1" s="2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5" hidden="false" customHeight="true" outlineLevel="0" collapsed="false">
      <c r="A3" s="14" t="s">
        <v>150</v>
      </c>
      <c r="B3" s="15" t="s">
        <v>151</v>
      </c>
      <c r="C3" s="15" t="s">
        <v>152</v>
      </c>
      <c r="D3" s="15" t="s">
        <v>153</v>
      </c>
      <c r="E3" s="15" t="s">
        <v>154</v>
      </c>
      <c r="F3" s="15" t="s">
        <v>155</v>
      </c>
      <c r="G3" s="15" t="s">
        <v>156</v>
      </c>
      <c r="H3" s="15" t="s">
        <v>157</v>
      </c>
      <c r="I3" s="15" t="s">
        <v>158</v>
      </c>
      <c r="J3" s="15" t="s">
        <v>159</v>
      </c>
      <c r="K3" s="15" t="s">
        <v>160</v>
      </c>
      <c r="L3" s="15" t="s">
        <v>161</v>
      </c>
      <c r="M3" s="15" t="s">
        <v>162</v>
      </c>
      <c r="N3" s="15" t="s">
        <v>163</v>
      </c>
      <c r="O3" s="15" t="s">
        <v>164</v>
      </c>
      <c r="P3" s="15" t="s">
        <v>165</v>
      </c>
      <c r="Q3" s="15" t="s">
        <v>166</v>
      </c>
      <c r="R3" s="15" t="s">
        <v>167</v>
      </c>
      <c r="S3" s="15" t="s">
        <v>168</v>
      </c>
      <c r="T3" s="15" t="s">
        <v>169</v>
      </c>
      <c r="U3" s="15" t="s">
        <v>170</v>
      </c>
      <c r="V3" s="15" t="s">
        <v>171</v>
      </c>
      <c r="W3" s="15" t="s">
        <v>172</v>
      </c>
      <c r="X3" s="15" t="s">
        <v>173</v>
      </c>
      <c r="Y3" s="15" t="s">
        <v>174</v>
      </c>
    </row>
    <row r="4" customFormat="false" ht="15" hidden="false" customHeight="true" outlineLevel="0" collapsed="false">
      <c r="A4" s="16" t="s">
        <v>256</v>
      </c>
      <c r="B4" s="12" t="n">
        <f aca="false">ASSUMPTIONS!$C$39</f>
        <v>10000</v>
      </c>
      <c r="C4" s="12" t="n">
        <f aca="false">B15</f>
        <v>32633.0662129142</v>
      </c>
      <c r="D4" s="12" t="n">
        <f aca="false">C15</f>
        <v>59409.6897633471</v>
      </c>
      <c r="E4" s="12" t="n">
        <f aca="false">D15</f>
        <v>86240.4764234887</v>
      </c>
      <c r="F4" s="12" t="n">
        <f aca="false">E15</f>
        <v>113126.329966283</v>
      </c>
      <c r="G4" s="12" t="n">
        <f aca="false">F15</f>
        <v>140068.17044524</v>
      </c>
      <c r="H4" s="12" t="n">
        <f aca="false">G15</f>
        <v>167066.934502098</v>
      </c>
      <c r="I4" s="12" t="n">
        <f aca="false">H15</f>
        <v>194123.575680462</v>
      </c>
      <c r="J4" s="12" t="n">
        <f aca="false">I15</f>
        <v>221239.064745528</v>
      </c>
      <c r="K4" s="12" t="n">
        <f aca="false">J15</f>
        <v>248414.390010025</v>
      </c>
      <c r="L4" s="12" t="n">
        <f aca="false">K15</f>
        <v>275650.557666484</v>
      </c>
      <c r="M4" s="12" t="n">
        <f aca="false">L15</f>
        <v>302948.592125974</v>
      </c>
      <c r="N4" s="12" t="n">
        <f aca="false">M15</f>
        <v>330309.536363417</v>
      </c>
      <c r="O4" s="12" t="n">
        <f aca="false">N15</f>
        <v>357652.852269624</v>
      </c>
      <c r="P4" s="12" t="n">
        <f aca="false">O15</f>
        <v>385061.221010171</v>
      </c>
      <c r="Q4" s="12" t="n">
        <f aca="false">P15</f>
        <v>412535.743391271</v>
      </c>
      <c r="R4" s="12" t="n">
        <f aca="false">Q15</f>
        <v>440077.540232755</v>
      </c>
      <c r="S4" s="12" t="n">
        <f aca="false">R15</f>
        <v>467687.752748321</v>
      </c>
      <c r="T4" s="12" t="n">
        <f aca="false">S15</f>
        <v>495367.542933185</v>
      </c>
      <c r="U4" s="12" t="n">
        <f aca="false">T15</f>
        <v>523118.093959285</v>
      </c>
      <c r="V4" s="12" t="n">
        <f aca="false">U15</f>
        <v>550940.610578186</v>
      </c>
      <c r="W4" s="12" t="n">
        <f aca="false">V15</f>
        <v>578836.319531828</v>
      </c>
      <c r="X4" s="12" t="n">
        <f aca="false">W15</f>
        <v>606806.469971292</v>
      </c>
      <c r="Y4" s="12" t="n">
        <f aca="false">X15</f>
        <v>634852.333883724</v>
      </c>
    </row>
    <row r="5" customFormat="false" ht="15" hidden="false" customHeight="true" outlineLevel="0" collapsed="false">
      <c r="A5" s="16" t="s">
        <v>257</v>
      </c>
      <c r="B5" s="12" t="n">
        <f aca="false">FUNNEL_24M!B26*ASSUMPTIONS!$C$10</f>
        <v>37237.3376994703</v>
      </c>
      <c r="C5" s="12" t="n">
        <f aca="false">FUNNEL_24M!C26*ASSUMPTIONS!$C$10</f>
        <v>37291.1748142165</v>
      </c>
      <c r="D5" s="12" t="n">
        <f aca="false">FUNNEL_24M!D26*ASSUMPTIONS!$C$10</f>
        <v>37345.9092142085</v>
      </c>
      <c r="E5" s="12" t="n">
        <f aca="false">FUNNEL_24M!E26*ASSUMPTIONS!$C$10</f>
        <v>37401.5570505807</v>
      </c>
      <c r="F5" s="12" t="n">
        <f aca="false">FUNNEL_24M!F26*ASSUMPTIONS!$C$10</f>
        <v>37458.1347795445</v>
      </c>
      <c r="G5" s="12" t="n">
        <f aca="false">FUNNEL_24M!G26*ASSUMPTIONS!$C$10</f>
        <v>37515.6591683103</v>
      </c>
      <c r="H5" s="12" t="n">
        <f aca="false">FUNNEL_24M!H26*ASSUMPTIONS!$C$10</f>
        <v>37574.1473011265</v>
      </c>
      <c r="I5" s="12" t="n">
        <f aca="false">FUNNEL_24M!I26*ASSUMPTIONS!$C$10</f>
        <v>37633.6165854369</v>
      </c>
      <c r="J5" s="12" t="n">
        <f aca="false">FUNNEL_24M!J26*ASSUMPTIONS!$C$10</f>
        <v>37694.0847581595</v>
      </c>
      <c r="K5" s="12" t="n">
        <f aca="false">FUNNEL_24M!K26*ASSUMPTIONS!$C$10</f>
        <v>37755.5698920901</v>
      </c>
      <c r="L5" s="12" t="n">
        <f aca="false">FUNNEL_24M!L26*ASSUMPTIONS!$C$10</f>
        <v>37818.0904024302</v>
      </c>
      <c r="M5" s="12" t="n">
        <f aca="false">FUNNEL_24M!M26*ASSUMPTIONS!$C$10</f>
        <v>37881.6650534453</v>
      </c>
      <c r="N5" s="12" t="n">
        <f aca="false">FUNNEL_24M!N26*ASSUMPTIONS!$C$10</f>
        <v>37946.3129652538</v>
      </c>
      <c r="O5" s="12" t="n">
        <f aca="false">FUNNEL_24M!O26*ASSUMPTIONS!$C$10</f>
        <v>38012.053620749</v>
      </c>
      <c r="P5" s="12" t="n">
        <f aca="false">FUNNEL_24M!P26*ASSUMPTIONS!$C$10</f>
        <v>38078.9068726594</v>
      </c>
      <c r="Q5" s="12" t="n">
        <f aca="false">FUNNEL_24M!Q26*ASSUMPTIONS!$C$10</f>
        <v>38146.8929507461</v>
      </c>
      <c r="R5" s="12" t="n">
        <f aca="false">FUNNEL_24M!R26*ASSUMPTIONS!$C$10</f>
        <v>38216.0324691442</v>
      </c>
      <c r="S5" s="12" t="n">
        <f aca="false">FUNNEL_24M!S26*ASSUMPTIONS!$C$10</f>
        <v>38286.3464338475</v>
      </c>
      <c r="T5" s="12" t="n">
        <f aca="false">FUNNEL_24M!T26*ASSUMPTIONS!$C$10</f>
        <v>38357.8562503412</v>
      </c>
      <c r="U5" s="12" t="n">
        <f aca="false">FUNNEL_24M!U26*ASSUMPTIONS!$C$10</f>
        <v>38430.5837313863</v>
      </c>
      <c r="V5" s="12" t="n">
        <f aca="false">FUNNEL_24M!V26*ASSUMPTIONS!$C$10</f>
        <v>38504.5511049559</v>
      </c>
      <c r="W5" s="12" t="n">
        <f aca="false">FUNNEL_24M!W26*ASSUMPTIONS!$C$10</f>
        <v>38579.7810223296</v>
      </c>
      <c r="X5" s="12" t="n">
        <f aca="false">FUNNEL_24M!X26*ASSUMPTIONS!$C$10</f>
        <v>38656.2965663468</v>
      </c>
      <c r="Y5" s="12" t="n">
        <f aca="false">FUNNEL_24M!Y26*ASSUMPTIONS!$C$10</f>
        <v>38734.1212598234</v>
      </c>
    </row>
    <row r="6" customFormat="false" ht="15" hidden="false" customHeight="true" outlineLevel="0" collapsed="false">
      <c r="A6" s="16" t="s">
        <v>258</v>
      </c>
      <c r="B6" s="12" t="n">
        <f aca="false">0</f>
        <v>0</v>
      </c>
      <c r="C6" s="12" t="n">
        <f aca="false">FUNNEL_24M!B26*ASSUMPTIONS!$C$11</f>
        <v>4137.48196660781</v>
      </c>
      <c r="D6" s="12" t="n">
        <f aca="false">FUNNEL_24M!C26*ASSUMPTIONS!$C$11</f>
        <v>4143.46386824628</v>
      </c>
      <c r="E6" s="12" t="n">
        <f aca="false">FUNNEL_24M!D26*ASSUMPTIONS!$C$11</f>
        <v>4149.54546824539</v>
      </c>
      <c r="F6" s="12" t="n">
        <f aca="false">FUNNEL_24M!E26*ASSUMPTIONS!$C$11</f>
        <v>4155.72856117563</v>
      </c>
      <c r="G6" s="12" t="n">
        <f aca="false">FUNNEL_24M!F26*ASSUMPTIONS!$C$11</f>
        <v>4162.01497550494</v>
      </c>
      <c r="H6" s="12" t="n">
        <f aca="false">FUNNEL_24M!G26*ASSUMPTIONS!$C$11</f>
        <v>4168.4065742567</v>
      </c>
      <c r="I6" s="12" t="n">
        <f aca="false">FUNNEL_24M!H26*ASSUMPTIONS!$C$11</f>
        <v>4174.90525568073</v>
      </c>
      <c r="J6" s="12" t="n">
        <f aca="false">FUNNEL_24M!I26*ASSUMPTIONS!$C$11</f>
        <v>4181.51295393743</v>
      </c>
      <c r="K6" s="12" t="n">
        <f aca="false">FUNNEL_24M!J26*ASSUMPTIONS!$C$11</f>
        <v>4188.2316397955</v>
      </c>
      <c r="L6" s="12" t="n">
        <f aca="false">FUNNEL_24M!K26*ASSUMPTIONS!$C$11</f>
        <v>4195.06332134334</v>
      </c>
      <c r="M6" s="12" t="n">
        <f aca="false">FUNNEL_24M!L26*ASSUMPTIONS!$C$11</f>
        <v>4202.01004471446</v>
      </c>
      <c r="N6" s="12" t="n">
        <f aca="false">FUNNEL_24M!M26*ASSUMPTIONS!$C$11</f>
        <v>4209.07389482726</v>
      </c>
      <c r="O6" s="12" t="n">
        <f aca="false">FUNNEL_24M!N26*ASSUMPTIONS!$C$11</f>
        <v>4216.25699613931</v>
      </c>
      <c r="P6" s="12" t="n">
        <f aca="false">FUNNEL_24M!O26*ASSUMPTIONS!$C$11</f>
        <v>4223.56151341656</v>
      </c>
      <c r="Q6" s="12" t="n">
        <f aca="false">FUNNEL_24M!P26*ASSUMPTIONS!$C$11</f>
        <v>4230.98965251771</v>
      </c>
      <c r="R6" s="12" t="n">
        <f aca="false">FUNNEL_24M!Q26*ASSUMPTIONS!$C$11</f>
        <v>4238.54366119401</v>
      </c>
      <c r="S6" s="12" t="n">
        <f aca="false">FUNNEL_24M!R26*ASSUMPTIONS!$C$11</f>
        <v>4246.22582990492</v>
      </c>
      <c r="T6" s="12" t="n">
        <f aca="false">FUNNEL_24M!S26*ASSUMPTIONS!$C$11</f>
        <v>4254.03849264972</v>
      </c>
      <c r="U6" s="12" t="n">
        <f aca="false">FUNNEL_24M!T26*ASSUMPTIONS!$C$11</f>
        <v>4261.98402781569</v>
      </c>
      <c r="V6" s="12" t="n">
        <f aca="false">FUNNEL_24M!U26*ASSUMPTIONS!$C$11</f>
        <v>4270.06485904292</v>
      </c>
      <c r="W6" s="12" t="n">
        <f aca="false">FUNNEL_24M!V26*ASSUMPTIONS!$C$11</f>
        <v>4278.28345610621</v>
      </c>
      <c r="X6" s="12" t="n">
        <f aca="false">FUNNEL_24M!W26*ASSUMPTIONS!$C$11</f>
        <v>4286.6423358144</v>
      </c>
      <c r="Y6" s="12" t="n">
        <f aca="false">FUNNEL_24M!X26*ASSUMPTIONS!$C$11</f>
        <v>4295.14406292742</v>
      </c>
    </row>
    <row r="7" customFormat="false" ht="15" hidden="false" customHeight="true" outlineLevel="0" collapsed="false">
      <c r="A7" s="3" t="s">
        <v>259</v>
      </c>
      <c r="B7" s="12" t="n">
        <f aca="false">(B5+B6)*(1-ASSUMPTIONS!$C$12)</f>
        <v>36864.9643224756</v>
      </c>
      <c r="C7" s="12" t="n">
        <f aca="false">(C5+C6)*(1-ASSUMPTIONS!$C$12)</f>
        <v>41014.3702130161</v>
      </c>
      <c r="D7" s="12" t="n">
        <f aca="false">(D5+D6)*(1-ASSUMPTIONS!$C$12)</f>
        <v>41074.4793516302</v>
      </c>
      <c r="E7" s="12" t="n">
        <f aca="false">(E5+E6)*(1-ASSUMPTIONS!$C$12)</f>
        <v>41135.5914936378</v>
      </c>
      <c r="F7" s="12" t="n">
        <f aca="false">(F5+F6)*(1-ASSUMPTIONS!$C$12)</f>
        <v>41197.7247073129</v>
      </c>
      <c r="G7" s="12" t="n">
        <f aca="false">(G5+G6)*(1-ASSUMPTIONS!$C$12)</f>
        <v>41260.8974023771</v>
      </c>
      <c r="H7" s="12" t="n">
        <f aca="false">(H5+H6)*(1-ASSUMPTIONS!$C$12)</f>
        <v>41325.1283366294</v>
      </c>
      <c r="I7" s="12" t="n">
        <f aca="false">(I5+I6)*(1-ASSUMPTIONS!$C$12)</f>
        <v>41390.4366227064</v>
      </c>
      <c r="J7" s="12" t="n">
        <f aca="false">(J5+J6)*(1-ASSUMPTIONS!$C$12)</f>
        <v>41456.841734976</v>
      </c>
      <c r="K7" s="12" t="n">
        <f aca="false">(K5+K6)*(1-ASSUMPTIONS!$C$12)</f>
        <v>41524.3635165667</v>
      </c>
      <c r="L7" s="12" t="n">
        <f aca="false">(L5+L6)*(1-ASSUMPTIONS!$C$12)</f>
        <v>41593.0221865358</v>
      </c>
      <c r="M7" s="12" t="n">
        <f aca="false">(M5+M6)*(1-ASSUMPTIONS!$C$12)</f>
        <v>41662.8383471782</v>
      </c>
      <c r="N7" s="12" t="n">
        <f aca="false">(N5+N6)*(1-ASSUMPTIONS!$C$12)</f>
        <v>41733.8329914802</v>
      </c>
      <c r="O7" s="12" t="n">
        <f aca="false">(O5+O6)*(1-ASSUMPTIONS!$C$12)</f>
        <v>41806.0275107194</v>
      </c>
      <c r="P7" s="12" t="n">
        <f aca="false">(P5+P6)*(1-ASSUMPTIONS!$C$12)</f>
        <v>41879.4437022152</v>
      </c>
      <c r="Q7" s="12" t="n">
        <f aca="false">(Q5+Q6)*(1-ASSUMPTIONS!$C$12)</f>
        <v>41954.1037772312</v>
      </c>
      <c r="R7" s="12" t="n">
        <f aca="false">(R5+R6)*(1-ASSUMPTIONS!$C$12)</f>
        <v>42030.0303690349</v>
      </c>
      <c r="S7" s="12" t="n">
        <f aca="false">(S5+S6)*(1-ASSUMPTIONS!$C$12)</f>
        <v>42107.2465411148</v>
      </c>
      <c r="T7" s="12" t="n">
        <f aca="false">(T5+T6)*(1-ASSUMPTIONS!$C$12)</f>
        <v>42185.775795561</v>
      </c>
      <c r="U7" s="12" t="n">
        <f aca="false">(U5+U6)*(1-ASSUMPTIONS!$C$12)</f>
        <v>42265.6420816099</v>
      </c>
      <c r="V7" s="12" t="n">
        <f aca="false">(V5+V6)*(1-ASSUMPTIONS!$C$12)</f>
        <v>42346.8698043588</v>
      </c>
      <c r="W7" s="12" t="n">
        <f aca="false">(W5+W6)*(1-ASSUMPTIONS!$C$12)</f>
        <v>42429.4838336515</v>
      </c>
      <c r="X7" s="12" t="n">
        <f aca="false">(X5+X6)*(1-ASSUMPTIONS!$C$12)</f>
        <v>42513.5095131396</v>
      </c>
      <c r="Y7" s="12" t="n">
        <f aca="false">(Y5+Y6)*(1-ASSUMPTIONS!$C$12)</f>
        <v>42598.9726695233</v>
      </c>
    </row>
    <row r="9" customFormat="false" ht="15" hidden="false" customHeight="true" outlineLevel="0" collapsed="false">
      <c r="A9" s="16" t="s">
        <v>260</v>
      </c>
      <c r="B9" s="12" t="n">
        <f aca="false">PNL_24M!B17</f>
        <v>5511.89810956138</v>
      </c>
      <c r="C9" s="12" t="n">
        <f aca="false">PNL_24M!C17</f>
        <v>5517.74666258316</v>
      </c>
      <c r="D9" s="12" t="n">
        <f aca="false">PNL_24M!D17</f>
        <v>5523.69269148862</v>
      </c>
      <c r="E9" s="12" t="n">
        <f aca="false">PNL_24M!E17</f>
        <v>5529.73795084369</v>
      </c>
      <c r="F9" s="12" t="n">
        <f aca="false">PNL_24M!F17</f>
        <v>5535.88422835607</v>
      </c>
      <c r="G9" s="12" t="n">
        <f aca="false">PNL_24M!G17</f>
        <v>5542.13334551861</v>
      </c>
      <c r="H9" s="12" t="n">
        <f aca="false">PNL_24M!H17</f>
        <v>5548.4871582653</v>
      </c>
      <c r="I9" s="12" t="n">
        <f aca="false">PNL_24M!I17</f>
        <v>5554.94755764025</v>
      </c>
      <c r="J9" s="12" t="n">
        <f aca="false">PNL_24M!J17</f>
        <v>5561.51647047975</v>
      </c>
      <c r="K9" s="12" t="n">
        <f aca="false">PNL_24M!K17</f>
        <v>5568.19586010787</v>
      </c>
      <c r="L9" s="12" t="n">
        <f aca="false">PNL_24M!L17</f>
        <v>5574.98772704568</v>
      </c>
      <c r="M9" s="12" t="n">
        <f aca="false">PNL_24M!M17</f>
        <v>5581.89410973457</v>
      </c>
      <c r="N9" s="12" t="n">
        <f aca="false">PNL_24M!N17</f>
        <v>5588.91708527366</v>
      </c>
      <c r="O9" s="12" t="n">
        <f aca="false">PNL_24M!O17</f>
        <v>5596.05877017194</v>
      </c>
      <c r="P9" s="12" t="n">
        <f aca="false">PNL_24M!P17</f>
        <v>5603.32132111507</v>
      </c>
      <c r="Q9" s="12" t="n">
        <f aca="false">PNL_24M!Q17</f>
        <v>5610.70693574741</v>
      </c>
      <c r="R9" s="12" t="n">
        <f aca="false">PNL_24M!R17</f>
        <v>5618.21785346945</v>
      </c>
      <c r="S9" s="12" t="n">
        <f aca="false">PNL_24M!S17</f>
        <v>5625.85635625096</v>
      </c>
      <c r="T9" s="12" t="n">
        <f aca="false">PNL_24M!T17</f>
        <v>5633.62476946018</v>
      </c>
      <c r="U9" s="12" t="n">
        <f aca="false">PNL_24M!U17</f>
        <v>5641.52546270938</v>
      </c>
      <c r="V9" s="12" t="n">
        <f aca="false">PNL_24M!V17</f>
        <v>5649.56085071712</v>
      </c>
      <c r="W9" s="12" t="n">
        <f aca="false">PNL_24M!W17</f>
        <v>5657.73339418751</v>
      </c>
      <c r="X9" s="12" t="n">
        <f aca="false">PNL_24M!X17</f>
        <v>5666.04560070681</v>
      </c>
      <c r="Y9" s="12" t="n">
        <f aca="false">PNL_24M!Y17</f>
        <v>5674.50002565782</v>
      </c>
    </row>
    <row r="10" customFormat="false" ht="15" hidden="false" customHeight="true" outlineLevel="0" collapsed="false">
      <c r="A10" s="16" t="s">
        <v>261</v>
      </c>
      <c r="B10" s="12" t="n">
        <f aca="false">PNL_24M!B24</f>
        <v>6000</v>
      </c>
      <c r="C10" s="12" t="n">
        <f aca="false">PNL_24M!C24</f>
        <v>6000</v>
      </c>
      <c r="D10" s="12" t="n">
        <f aca="false">PNL_24M!D24</f>
        <v>6000</v>
      </c>
      <c r="E10" s="12" t="n">
        <f aca="false">PNL_24M!E24</f>
        <v>6000</v>
      </c>
      <c r="F10" s="12" t="n">
        <f aca="false">PNL_24M!F24</f>
        <v>6000</v>
      </c>
      <c r="G10" s="12" t="n">
        <f aca="false">PNL_24M!G24</f>
        <v>6000</v>
      </c>
      <c r="H10" s="12" t="n">
        <f aca="false">PNL_24M!H24</f>
        <v>6000</v>
      </c>
      <c r="I10" s="12" t="n">
        <f aca="false">PNL_24M!I24</f>
        <v>6000</v>
      </c>
      <c r="J10" s="12" t="n">
        <f aca="false">PNL_24M!J24</f>
        <v>6000</v>
      </c>
      <c r="K10" s="12" t="n">
        <f aca="false">PNL_24M!K24</f>
        <v>6000</v>
      </c>
      <c r="L10" s="12" t="n">
        <f aca="false">PNL_24M!L24</f>
        <v>6000</v>
      </c>
      <c r="M10" s="12" t="n">
        <f aca="false">PNL_24M!M24</f>
        <v>6000</v>
      </c>
      <c r="N10" s="12" t="n">
        <f aca="false">PNL_24M!N24</f>
        <v>6000</v>
      </c>
      <c r="O10" s="12" t="n">
        <f aca="false">PNL_24M!O24</f>
        <v>6000</v>
      </c>
      <c r="P10" s="12" t="n">
        <f aca="false">PNL_24M!P24</f>
        <v>6000</v>
      </c>
      <c r="Q10" s="12" t="n">
        <f aca="false">PNL_24M!Q24</f>
        <v>6000</v>
      </c>
      <c r="R10" s="12" t="n">
        <f aca="false">PNL_24M!R24</f>
        <v>6000</v>
      </c>
      <c r="S10" s="12" t="n">
        <f aca="false">PNL_24M!S24</f>
        <v>6000</v>
      </c>
      <c r="T10" s="12" t="n">
        <f aca="false">PNL_24M!T24</f>
        <v>6000</v>
      </c>
      <c r="U10" s="12" t="n">
        <f aca="false">PNL_24M!U24</f>
        <v>6000</v>
      </c>
      <c r="V10" s="12" t="n">
        <f aca="false">PNL_24M!V24</f>
        <v>6000</v>
      </c>
      <c r="W10" s="12" t="n">
        <f aca="false">PNL_24M!W24</f>
        <v>6000</v>
      </c>
      <c r="X10" s="12" t="n">
        <f aca="false">PNL_24M!X24</f>
        <v>6000</v>
      </c>
      <c r="Y10" s="12" t="n">
        <f aca="false">PNL_24M!Y24</f>
        <v>6000</v>
      </c>
    </row>
    <row r="11" customFormat="false" ht="15" hidden="false" customHeight="true" outlineLevel="0" collapsed="false">
      <c r="A11" s="16" t="s">
        <v>262</v>
      </c>
      <c r="B11" s="12" t="n">
        <f aca="false">PNL_24M!B36</f>
        <v>2720</v>
      </c>
      <c r="C11" s="12" t="n">
        <f aca="false">PNL_24M!C36</f>
        <v>2720</v>
      </c>
      <c r="D11" s="12" t="n">
        <f aca="false">PNL_24M!D36</f>
        <v>2720</v>
      </c>
      <c r="E11" s="12" t="n">
        <f aca="false">PNL_24M!E36</f>
        <v>2720</v>
      </c>
      <c r="F11" s="12" t="n">
        <f aca="false">PNL_24M!F36</f>
        <v>2720</v>
      </c>
      <c r="G11" s="12" t="n">
        <f aca="false">PNL_24M!G36</f>
        <v>2720</v>
      </c>
      <c r="H11" s="12" t="n">
        <f aca="false">PNL_24M!H36</f>
        <v>2720</v>
      </c>
      <c r="I11" s="12" t="n">
        <f aca="false">PNL_24M!I36</f>
        <v>2720</v>
      </c>
      <c r="J11" s="12" t="n">
        <f aca="false">PNL_24M!J36</f>
        <v>2720</v>
      </c>
      <c r="K11" s="12" t="n">
        <f aca="false">PNL_24M!K36</f>
        <v>2720</v>
      </c>
      <c r="L11" s="12" t="n">
        <f aca="false">PNL_24M!L36</f>
        <v>2720</v>
      </c>
      <c r="M11" s="12" t="n">
        <f aca="false">PNL_24M!M36</f>
        <v>2720</v>
      </c>
      <c r="N11" s="12" t="n">
        <f aca="false">PNL_24M!N36</f>
        <v>2801.6</v>
      </c>
      <c r="O11" s="12" t="n">
        <f aca="false">PNL_24M!O36</f>
        <v>2801.6</v>
      </c>
      <c r="P11" s="12" t="n">
        <f aca="false">PNL_24M!P36</f>
        <v>2801.6</v>
      </c>
      <c r="Q11" s="12" t="n">
        <f aca="false">PNL_24M!Q36</f>
        <v>2801.6</v>
      </c>
      <c r="R11" s="12" t="n">
        <f aca="false">PNL_24M!R36</f>
        <v>2801.6</v>
      </c>
      <c r="S11" s="12" t="n">
        <f aca="false">PNL_24M!S36</f>
        <v>2801.6</v>
      </c>
      <c r="T11" s="12" t="n">
        <f aca="false">PNL_24M!T36</f>
        <v>2801.6</v>
      </c>
      <c r="U11" s="12" t="n">
        <f aca="false">PNL_24M!U36</f>
        <v>2801.6</v>
      </c>
      <c r="V11" s="12" t="n">
        <f aca="false">PNL_24M!V36</f>
        <v>2801.6</v>
      </c>
      <c r="W11" s="12" t="n">
        <f aca="false">PNL_24M!W36</f>
        <v>2801.6</v>
      </c>
      <c r="X11" s="12" t="n">
        <f aca="false">PNL_24M!X36</f>
        <v>2801.6</v>
      </c>
      <c r="Y11" s="12" t="n">
        <f aca="false">PNL_24M!Y36</f>
        <v>2801.6</v>
      </c>
    </row>
    <row r="12" customFormat="false" ht="15" hidden="false" customHeight="true" outlineLevel="0" collapsed="false">
      <c r="A12" s="3" t="s">
        <v>263</v>
      </c>
      <c r="B12" s="12" t="n">
        <f aca="false">SUM(B9:B11)</f>
        <v>14231.8981095614</v>
      </c>
      <c r="C12" s="12" t="n">
        <f aca="false">SUM(C9:C11)</f>
        <v>14237.7466625832</v>
      </c>
      <c r="D12" s="12" t="n">
        <f aca="false">SUM(D9:D11)</f>
        <v>14243.6926914886</v>
      </c>
      <c r="E12" s="12" t="n">
        <f aca="false">SUM(E9:E11)</f>
        <v>14249.7379508437</v>
      </c>
      <c r="F12" s="12" t="n">
        <f aca="false">SUM(F9:F11)</f>
        <v>14255.8842283561</v>
      </c>
      <c r="G12" s="12" t="n">
        <f aca="false">SUM(G9:G11)</f>
        <v>14262.1333455186</v>
      </c>
      <c r="H12" s="12" t="n">
        <f aca="false">SUM(H9:H11)</f>
        <v>14268.4871582653</v>
      </c>
      <c r="I12" s="12" t="n">
        <f aca="false">SUM(I9:I11)</f>
        <v>14274.9475576403</v>
      </c>
      <c r="J12" s="12" t="n">
        <f aca="false">SUM(J9:J11)</f>
        <v>14281.5164704798</v>
      </c>
      <c r="K12" s="12" t="n">
        <f aca="false">SUM(K9:K11)</f>
        <v>14288.1958601079</v>
      </c>
      <c r="L12" s="12" t="n">
        <f aca="false">SUM(L9:L11)</f>
        <v>14294.9877270457</v>
      </c>
      <c r="M12" s="12" t="n">
        <f aca="false">SUM(M9:M11)</f>
        <v>14301.8941097346</v>
      </c>
      <c r="N12" s="12" t="n">
        <f aca="false">SUM(N9:N11)</f>
        <v>14390.5170852737</v>
      </c>
      <c r="O12" s="12" t="n">
        <f aca="false">SUM(O9:O11)</f>
        <v>14397.6587701719</v>
      </c>
      <c r="P12" s="12" t="n">
        <f aca="false">SUM(P9:P11)</f>
        <v>14404.9213211151</v>
      </c>
      <c r="Q12" s="12" t="n">
        <f aca="false">SUM(Q9:Q11)</f>
        <v>14412.3069357474</v>
      </c>
      <c r="R12" s="12" t="n">
        <f aca="false">SUM(R9:R11)</f>
        <v>14419.8178534695</v>
      </c>
      <c r="S12" s="12" t="n">
        <f aca="false">SUM(S9:S11)</f>
        <v>14427.456356251</v>
      </c>
      <c r="T12" s="12" t="n">
        <f aca="false">SUM(T9:T11)</f>
        <v>14435.2247694602</v>
      </c>
      <c r="U12" s="12" t="n">
        <f aca="false">SUM(U9:U11)</f>
        <v>14443.1254627094</v>
      </c>
      <c r="V12" s="12" t="n">
        <f aca="false">SUM(V9:V11)</f>
        <v>14451.1608507171</v>
      </c>
      <c r="W12" s="12" t="n">
        <f aca="false">SUM(W9:W11)</f>
        <v>14459.3333941875</v>
      </c>
      <c r="X12" s="12" t="n">
        <f aca="false">SUM(X9:X11)</f>
        <v>14467.6456007068</v>
      </c>
      <c r="Y12" s="12" t="n">
        <f aca="false">SUM(Y9:Y11)</f>
        <v>14476.1000256578</v>
      </c>
    </row>
    <row r="14" customFormat="false" ht="15" hidden="false" customHeight="true" outlineLevel="0" collapsed="false">
      <c r="A14" s="3" t="s">
        <v>264</v>
      </c>
      <c r="B14" s="12" t="n">
        <f aca="false">B7-B12</f>
        <v>22633.0662129142</v>
      </c>
      <c r="C14" s="12" t="n">
        <f aca="false">C7-C12</f>
        <v>26776.6235504329</v>
      </c>
      <c r="D14" s="12" t="n">
        <f aca="false">D7-D12</f>
        <v>26830.7866601416</v>
      </c>
      <c r="E14" s="12" t="n">
        <f aca="false">E7-E12</f>
        <v>26885.8535427941</v>
      </c>
      <c r="F14" s="12" t="n">
        <f aca="false">F7-F12</f>
        <v>26941.8404789568</v>
      </c>
      <c r="G14" s="12" t="n">
        <f aca="false">G7-G12</f>
        <v>26998.7640568585</v>
      </c>
      <c r="H14" s="12" t="n">
        <f aca="false">H7-H12</f>
        <v>27056.6411783641</v>
      </c>
      <c r="I14" s="12" t="n">
        <f aca="false">I7-I12</f>
        <v>27115.4890650662</v>
      </c>
      <c r="J14" s="12" t="n">
        <f aca="false">J7-J12</f>
        <v>27175.3252644962</v>
      </c>
      <c r="K14" s="12" t="n">
        <f aca="false">K7-K12</f>
        <v>27236.1676564588</v>
      </c>
      <c r="L14" s="12" t="n">
        <f aca="false">L7-L12</f>
        <v>27298.0344594901</v>
      </c>
      <c r="M14" s="12" t="n">
        <f aca="false">M7-M12</f>
        <v>27360.9442374436</v>
      </c>
      <c r="N14" s="12" t="n">
        <f aca="false">N7-N12</f>
        <v>27343.3159062065</v>
      </c>
      <c r="O14" s="12" t="n">
        <f aca="false">O7-O12</f>
        <v>27408.3687405475</v>
      </c>
      <c r="P14" s="12" t="n">
        <f aca="false">P7-P12</f>
        <v>27474.5223811001</v>
      </c>
      <c r="Q14" s="12" t="n">
        <f aca="false">Q7-Q12</f>
        <v>27541.7968414838</v>
      </c>
      <c r="R14" s="12" t="n">
        <f aca="false">R7-R12</f>
        <v>27610.2125155654</v>
      </c>
      <c r="S14" s="12" t="n">
        <f aca="false">S7-S12</f>
        <v>27679.7901848639</v>
      </c>
      <c r="T14" s="12" t="n">
        <f aca="false">T7-T12</f>
        <v>27750.5510261008</v>
      </c>
      <c r="U14" s="12" t="n">
        <f aca="false">U7-U12</f>
        <v>27822.5166189005</v>
      </c>
      <c r="V14" s="12" t="n">
        <f aca="false">V7-V12</f>
        <v>27895.7089536417</v>
      </c>
      <c r="W14" s="12" t="n">
        <f aca="false">W7-W12</f>
        <v>27970.150439464</v>
      </c>
      <c r="X14" s="12" t="n">
        <f aca="false">X7-X12</f>
        <v>28045.8639124328</v>
      </c>
      <c r="Y14" s="12" t="n">
        <f aca="false">Y7-Y12</f>
        <v>28122.8726438655</v>
      </c>
    </row>
    <row r="15" customFormat="false" ht="15" hidden="false" customHeight="true" outlineLevel="0" collapsed="false">
      <c r="A15" s="3" t="s">
        <v>265</v>
      </c>
      <c r="B15" s="12" t="n">
        <f aca="false">B4+B14</f>
        <v>32633.0662129142</v>
      </c>
      <c r="C15" s="12" t="n">
        <f aca="false">C4+C14</f>
        <v>59409.6897633471</v>
      </c>
      <c r="D15" s="12" t="n">
        <f aca="false">D4+D14</f>
        <v>86240.4764234887</v>
      </c>
      <c r="E15" s="12" t="n">
        <f aca="false">E4+E14</f>
        <v>113126.329966283</v>
      </c>
      <c r="F15" s="12" t="n">
        <f aca="false">F4+F14</f>
        <v>140068.17044524</v>
      </c>
      <c r="G15" s="12" t="n">
        <f aca="false">G4+G14</f>
        <v>167066.934502098</v>
      </c>
      <c r="H15" s="12" t="n">
        <f aca="false">H4+H14</f>
        <v>194123.575680462</v>
      </c>
      <c r="I15" s="12" t="n">
        <f aca="false">I4+I14</f>
        <v>221239.064745528</v>
      </c>
      <c r="J15" s="12" t="n">
        <f aca="false">J4+J14</f>
        <v>248414.390010025</v>
      </c>
      <c r="K15" s="12" t="n">
        <f aca="false">K4+K14</f>
        <v>275650.557666484</v>
      </c>
      <c r="L15" s="12" t="n">
        <f aca="false">L4+L14</f>
        <v>302948.592125974</v>
      </c>
      <c r="M15" s="12" t="n">
        <f aca="false">M4+M14</f>
        <v>330309.536363417</v>
      </c>
      <c r="N15" s="12" t="n">
        <f aca="false">N4+N14</f>
        <v>357652.852269624</v>
      </c>
      <c r="O15" s="12" t="n">
        <f aca="false">O4+O14</f>
        <v>385061.221010171</v>
      </c>
      <c r="P15" s="12" t="n">
        <f aca="false">P4+P14</f>
        <v>412535.743391271</v>
      </c>
      <c r="Q15" s="12" t="n">
        <f aca="false">Q4+Q14</f>
        <v>440077.540232755</v>
      </c>
      <c r="R15" s="12" t="n">
        <f aca="false">R4+R14</f>
        <v>467687.752748321</v>
      </c>
      <c r="S15" s="12" t="n">
        <f aca="false">S4+S14</f>
        <v>495367.542933185</v>
      </c>
      <c r="T15" s="12" t="n">
        <f aca="false">T4+T14</f>
        <v>523118.093959285</v>
      </c>
      <c r="U15" s="12" t="n">
        <f aca="false">U4+U14</f>
        <v>550940.610578186</v>
      </c>
      <c r="V15" s="12" t="n">
        <f aca="false">V4+V14</f>
        <v>578836.319531828</v>
      </c>
      <c r="W15" s="12" t="n">
        <f aca="false">W4+W14</f>
        <v>606806.469971292</v>
      </c>
      <c r="X15" s="12" t="n">
        <f aca="false">X4+X14</f>
        <v>634852.333883724</v>
      </c>
      <c r="Y15" s="12" t="n">
        <f aca="false">Y4+Y14</f>
        <v>662975.20652759</v>
      </c>
    </row>
    <row r="18" customFormat="false" ht="15" hidden="false" customHeight="true" outlineLevel="0" collapsed="false">
      <c r="A18" s="3" t="s">
        <v>266</v>
      </c>
      <c r="B18" s="12" t="n">
        <f aca="false">MIN(B15:Y15)</f>
        <v>32633.0662129142</v>
      </c>
    </row>
    <row r="19" customFormat="false" ht="15" hidden="false" customHeight="true" outlineLevel="0" collapsed="false">
      <c r="A19" s="3" t="s">
        <v>267</v>
      </c>
      <c r="B19" s="21" t="n">
        <f aca="false">COUNTIF(B15:Y15,"&lt;0")</f>
        <v>0</v>
      </c>
    </row>
    <row r="20" customFormat="false" ht="15" hidden="false" customHeight="true" outlineLevel="0" collapsed="false">
      <c r="A20" s="3" t="s">
        <v>268</v>
      </c>
      <c r="B20" s="12" t="n">
        <f aca="false">Y15</f>
        <v>662975.20652759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0" min="1" style="1" width="14"/>
  </cols>
  <sheetData>
    <row r="1" customFormat="false" ht="21.75" hidden="false" customHeight="true" outlineLevel="0" collapsed="false">
      <c r="A1" s="2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true" outlineLevel="0" collapsed="false">
      <c r="A3" s="3" t="s">
        <v>270</v>
      </c>
      <c r="B3" s="10" t="s">
        <v>271</v>
      </c>
    </row>
    <row r="5" customFormat="false" ht="15" hidden="false" customHeight="true" outlineLevel="0" collapsed="false">
      <c r="A5" s="1" t="s">
        <v>272</v>
      </c>
      <c r="B5" s="22" t="n">
        <v>10</v>
      </c>
      <c r="C5" s="22" t="n">
        <v>12</v>
      </c>
      <c r="D5" s="22" t="n">
        <v>14</v>
      </c>
      <c r="E5" s="22" t="n">
        <v>16</v>
      </c>
      <c r="F5" s="22" t="n">
        <v>18</v>
      </c>
      <c r="G5" s="22" t="n">
        <v>20</v>
      </c>
      <c r="H5" s="22" t="n">
        <v>24</v>
      </c>
      <c r="I5" s="22" t="n">
        <v>28</v>
      </c>
    </row>
    <row r="6" customFormat="false" ht="15" hidden="false" customHeight="true" outlineLevel="0" collapsed="false">
      <c r="A6" s="23" t="n">
        <v>0.25</v>
      </c>
      <c r="B6" s="12" t="n">
        <f aca="false">(MIN(((MIN((((CHANNELS!$C$4/B$5)+CHANNELS!$C$5+CHANNELS!$C$6+CHANNELS!$C$7)*ASSUMPTIONS!$C$4*ASSUMPTIONS!$C$5*ASSUMPTIONS!$C$6),CAPACITY_24M!B6)*($A6+(1-$A6)*ASSUMPTIONS!$C$8))*(1-ASSUMPTIONS!$C$9)),CAPACITY_24M!B12)*IFERROR(((MIN((((CHANNELS!$C$4/B$5)+CHANNELS!$C$5+CHANNELS!$C$6+CHANNELS!$C$7)*ASSUMPTIONS!$C$4*ASSUMPTIONS!$C$5*ASSUMPTIONS!$C$6),CAPACITY_24M!B6)*$A6*CASE_TYPES!$B$11)+(MIN((((CHANNELS!$C$4/B$5)+CHANNELS!$C$5+CHANNELS!$C$6+CHANNELS!$C$7)*ASSUMPTIONS!$C$4*ASSUMPTIONS!$C$5*ASSUMPTIONS!$C$6),CAPACITY_24M!B6)*(1-$A6)*ASSUMPTIONS!$C$8*CASE_TYPES!$B$12))/(MIN((((CHANNELS!$C$4/B$5)+CHANNELS!$C$5+CHANNELS!$C$6+CHANNELS!$C$7)*ASSUMPTIONS!$C$4*ASSUMPTIONS!$C$5*ASSUMPTIONS!$C$6),CAPACITY_24M!B6)*($A6+(1-$A6)*ASSUMPTIONS!$C$8)),0))-(((MIN((((CHANNELS!$C$4/B$5)+CHANNELS!$C$5+CHANNELS!$C$6+CHANNELS!$C$7)*ASSUMPTIONS!$C$4*ASSUMPTIONS!$C$5*ASSUMPTIONS!$C$6),CAPACITY_24M!B6)*($A6+(1-$A6)*ASSUMPTIONS!$C$8))*ASSUMPTIONS!$C$16)+(MIN(((MIN((((CHANNELS!$C$4/B$5)+CHANNELS!$C$5+CHANNELS!$C$6+CHANNELS!$C$7)*ASSUMPTIONS!$C$4*ASSUMPTIONS!$C$5*ASSUMPTIONS!$C$6),CAPACITY_24M!B6)*($A6+(1-$A6)*ASSUMPTIONS!$C$8))*(1-ASSUMPTIONS!$C$9)),CAPACITY_24M!B12)*(CASE_TYPES!$B$14*ASSUMPTIONS!$C$30+CASE_TYPES!$B$15+CASE_TYPES!$B$16))+((MIN(((MIN((((CHANNELS!$C$4/B$5)+CHANNELS!$C$5+CHANNELS!$C$6+CHANNELS!$C$7)*ASSUMPTIONS!$C$4*ASSUMPTIONS!$C$5*ASSUMPTIONS!$C$6),CAPACITY_24M!B6)*($A6+(1-$A6)*ASSUMPTIONS!$C$8))*(1-ASSUMPTIONS!$C$9)),CAPACITY_24M!B12)*IFERROR(((MIN((((CHANNELS!$C$4/B$5)+CHANNELS!$C$5+CHANNELS!$C$6+CHANNELS!$C$7)*ASSUMPTIONS!$C$4*ASSUMPTIONS!$C$5*ASSUMPTIONS!$C$6),CAPACITY_24M!B6)*$A6*CASE_TYPES!$B$11)+(MIN((((CHANNELS!$C$4/B$5)+CHANNELS!$C$5+CHANNELS!$C$6+CHANNELS!$C$7)*ASSUMPTIONS!$C$4*ASSUMPTIONS!$C$5*ASSUMPTIONS!$C$6),CAPACITY_24M!B6)*(1-$A6)*ASSUMPTIONS!$C$8*CASE_TYPES!$B$12))/(MIN((((CHANNELS!$C$4/B$5)+CHANNELS!$C$5+CHANNELS!$C$6+CHANNELS!$C$7)*ASSUMPTIONS!$C$4*ASSUMPTIONS!$C$5*ASSUMPTIONS!$C$6),CAPACITY_24M!B6)*($A6+(1-$A6)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1944.75368440242</v>
      </c>
      <c r="C6" s="12" t="n">
        <f aca="false">(MIN(((MIN((((CHANNELS!$C$4/C$5)+CHANNELS!$C$5+CHANNELS!$C$6+CHANNELS!$C$7)*ASSUMPTIONS!$C$4*ASSUMPTIONS!$C$5*ASSUMPTIONS!$C$6),CAPACITY_24M!B6)*($A6+(1-$A6)*ASSUMPTIONS!$C$8))*(1-ASSUMPTIONS!$C$9)),CAPACITY_24M!B12)*IFERROR(((MIN((((CHANNELS!$C$4/C$5)+CHANNELS!$C$5+CHANNELS!$C$6+CHANNELS!$C$7)*ASSUMPTIONS!$C$4*ASSUMPTIONS!$C$5*ASSUMPTIONS!$C$6),CAPACITY_24M!B6)*$A6*CASE_TYPES!$B$11)+(MIN((((CHANNELS!$C$4/C$5)+CHANNELS!$C$5+CHANNELS!$C$6+CHANNELS!$C$7)*ASSUMPTIONS!$C$4*ASSUMPTIONS!$C$5*ASSUMPTIONS!$C$6),CAPACITY_24M!B6)*(1-$A6)*ASSUMPTIONS!$C$8*CASE_TYPES!$B$12))/(MIN((((CHANNELS!$C$4/C$5)+CHANNELS!$C$5+CHANNELS!$C$6+CHANNELS!$C$7)*ASSUMPTIONS!$C$4*ASSUMPTIONS!$C$5*ASSUMPTIONS!$C$6),CAPACITY_24M!B6)*($A6+(1-$A6)*ASSUMPTIONS!$C$8)),0))-(((MIN((((CHANNELS!$C$4/C$5)+CHANNELS!$C$5+CHANNELS!$C$6+CHANNELS!$C$7)*ASSUMPTIONS!$C$4*ASSUMPTIONS!$C$5*ASSUMPTIONS!$C$6),CAPACITY_24M!B6)*($A6+(1-$A6)*ASSUMPTIONS!$C$8))*ASSUMPTIONS!$C$16)+(MIN(((MIN((((CHANNELS!$C$4/C$5)+CHANNELS!$C$5+CHANNELS!$C$6+CHANNELS!$C$7)*ASSUMPTIONS!$C$4*ASSUMPTIONS!$C$5*ASSUMPTIONS!$C$6),CAPACITY_24M!B6)*($A6+(1-$A6)*ASSUMPTIONS!$C$8))*(1-ASSUMPTIONS!$C$9)),CAPACITY_24M!B12)*(CASE_TYPES!$B$14*ASSUMPTIONS!$C$30+CASE_TYPES!$B$15+CASE_TYPES!$B$16))+((MIN(((MIN((((CHANNELS!$C$4/C$5)+CHANNELS!$C$5+CHANNELS!$C$6+CHANNELS!$C$7)*ASSUMPTIONS!$C$4*ASSUMPTIONS!$C$5*ASSUMPTIONS!$C$6),CAPACITY_24M!B6)*($A6+(1-$A6)*ASSUMPTIONS!$C$8))*(1-ASSUMPTIONS!$C$9)),CAPACITY_24M!B12)*IFERROR(((MIN((((CHANNELS!$C$4/C$5)+CHANNELS!$C$5+CHANNELS!$C$6+CHANNELS!$C$7)*ASSUMPTIONS!$C$4*ASSUMPTIONS!$C$5*ASSUMPTIONS!$C$6),CAPACITY_24M!B6)*$A6*CASE_TYPES!$B$11)+(MIN((((CHANNELS!$C$4/C$5)+CHANNELS!$C$5+CHANNELS!$C$6+CHANNELS!$C$7)*ASSUMPTIONS!$C$4*ASSUMPTIONS!$C$5*ASSUMPTIONS!$C$6),CAPACITY_24M!B6)*(1-$A6)*ASSUMPTIONS!$C$8*CASE_TYPES!$B$12))/(MIN((((CHANNELS!$C$4/C$5)+CHANNELS!$C$5+CHANNELS!$C$6+CHANNELS!$C$7)*ASSUMPTIONS!$C$4*ASSUMPTIONS!$C$5*ASSUMPTIONS!$C$6),CAPACITY_24M!B6)*($A6+(1-$A6)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1944.75368440242</v>
      </c>
      <c r="D6" s="12" t="n">
        <f aca="false">(MIN(((MIN((((CHANNELS!$C$4/D$5)+CHANNELS!$C$5+CHANNELS!$C$6+CHANNELS!$C$7)*ASSUMPTIONS!$C$4*ASSUMPTIONS!$C$5*ASSUMPTIONS!$C$6),CAPACITY_24M!B6)*($A6+(1-$A6)*ASSUMPTIONS!$C$8))*(1-ASSUMPTIONS!$C$9)),CAPACITY_24M!B12)*IFERROR(((MIN((((CHANNELS!$C$4/D$5)+CHANNELS!$C$5+CHANNELS!$C$6+CHANNELS!$C$7)*ASSUMPTIONS!$C$4*ASSUMPTIONS!$C$5*ASSUMPTIONS!$C$6),CAPACITY_24M!B6)*$A6*CASE_TYPES!$B$11)+(MIN((((CHANNELS!$C$4/D$5)+CHANNELS!$C$5+CHANNELS!$C$6+CHANNELS!$C$7)*ASSUMPTIONS!$C$4*ASSUMPTIONS!$C$5*ASSUMPTIONS!$C$6),CAPACITY_24M!B6)*(1-$A6)*ASSUMPTIONS!$C$8*CASE_TYPES!$B$12))/(MIN((((CHANNELS!$C$4/D$5)+CHANNELS!$C$5+CHANNELS!$C$6+CHANNELS!$C$7)*ASSUMPTIONS!$C$4*ASSUMPTIONS!$C$5*ASSUMPTIONS!$C$6),CAPACITY_24M!B6)*($A6+(1-$A6)*ASSUMPTIONS!$C$8)),0))-(((MIN((((CHANNELS!$C$4/D$5)+CHANNELS!$C$5+CHANNELS!$C$6+CHANNELS!$C$7)*ASSUMPTIONS!$C$4*ASSUMPTIONS!$C$5*ASSUMPTIONS!$C$6),CAPACITY_24M!B6)*($A6+(1-$A6)*ASSUMPTIONS!$C$8))*ASSUMPTIONS!$C$16)+(MIN(((MIN((((CHANNELS!$C$4/D$5)+CHANNELS!$C$5+CHANNELS!$C$6+CHANNELS!$C$7)*ASSUMPTIONS!$C$4*ASSUMPTIONS!$C$5*ASSUMPTIONS!$C$6),CAPACITY_24M!B6)*($A6+(1-$A6)*ASSUMPTIONS!$C$8))*(1-ASSUMPTIONS!$C$9)),CAPACITY_24M!B12)*(CASE_TYPES!$B$14*ASSUMPTIONS!$C$30+CASE_TYPES!$B$15+CASE_TYPES!$B$16))+((MIN(((MIN((((CHANNELS!$C$4/D$5)+CHANNELS!$C$5+CHANNELS!$C$6+CHANNELS!$C$7)*ASSUMPTIONS!$C$4*ASSUMPTIONS!$C$5*ASSUMPTIONS!$C$6),CAPACITY_24M!B6)*($A6+(1-$A6)*ASSUMPTIONS!$C$8))*(1-ASSUMPTIONS!$C$9)),CAPACITY_24M!B12)*IFERROR(((MIN((((CHANNELS!$C$4/D$5)+CHANNELS!$C$5+CHANNELS!$C$6+CHANNELS!$C$7)*ASSUMPTIONS!$C$4*ASSUMPTIONS!$C$5*ASSUMPTIONS!$C$6),CAPACITY_24M!B6)*$A6*CASE_TYPES!$B$11)+(MIN((((CHANNELS!$C$4/D$5)+CHANNELS!$C$5+CHANNELS!$C$6+CHANNELS!$C$7)*ASSUMPTIONS!$C$4*ASSUMPTIONS!$C$5*ASSUMPTIONS!$C$6),CAPACITY_24M!B6)*(1-$A6)*ASSUMPTIONS!$C$8*CASE_TYPES!$B$12))/(MIN((((CHANNELS!$C$4/D$5)+CHANNELS!$C$5+CHANNELS!$C$6+CHANNELS!$C$7)*ASSUMPTIONS!$C$4*ASSUMPTIONS!$C$5*ASSUMPTIONS!$C$6),CAPACITY_24M!B6)*($A6+(1-$A6)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1944.75368440242</v>
      </c>
      <c r="E6" s="12" t="n">
        <f aca="false">(MIN(((MIN((((CHANNELS!$C$4/E$5)+CHANNELS!$C$5+CHANNELS!$C$6+CHANNELS!$C$7)*ASSUMPTIONS!$C$4*ASSUMPTIONS!$C$5*ASSUMPTIONS!$C$6),CAPACITY_24M!B6)*($A6+(1-$A6)*ASSUMPTIONS!$C$8))*(1-ASSUMPTIONS!$C$9)),CAPACITY_24M!B12)*IFERROR(((MIN((((CHANNELS!$C$4/E$5)+CHANNELS!$C$5+CHANNELS!$C$6+CHANNELS!$C$7)*ASSUMPTIONS!$C$4*ASSUMPTIONS!$C$5*ASSUMPTIONS!$C$6),CAPACITY_24M!B6)*$A6*CASE_TYPES!$B$11)+(MIN((((CHANNELS!$C$4/E$5)+CHANNELS!$C$5+CHANNELS!$C$6+CHANNELS!$C$7)*ASSUMPTIONS!$C$4*ASSUMPTIONS!$C$5*ASSUMPTIONS!$C$6),CAPACITY_24M!B6)*(1-$A6)*ASSUMPTIONS!$C$8*CASE_TYPES!$B$12))/(MIN((((CHANNELS!$C$4/E$5)+CHANNELS!$C$5+CHANNELS!$C$6+CHANNELS!$C$7)*ASSUMPTIONS!$C$4*ASSUMPTIONS!$C$5*ASSUMPTIONS!$C$6),CAPACITY_24M!B6)*($A6+(1-$A6)*ASSUMPTIONS!$C$8)),0))-(((MIN((((CHANNELS!$C$4/E$5)+CHANNELS!$C$5+CHANNELS!$C$6+CHANNELS!$C$7)*ASSUMPTIONS!$C$4*ASSUMPTIONS!$C$5*ASSUMPTIONS!$C$6),CAPACITY_24M!B6)*($A6+(1-$A6)*ASSUMPTIONS!$C$8))*ASSUMPTIONS!$C$16)+(MIN(((MIN((((CHANNELS!$C$4/E$5)+CHANNELS!$C$5+CHANNELS!$C$6+CHANNELS!$C$7)*ASSUMPTIONS!$C$4*ASSUMPTIONS!$C$5*ASSUMPTIONS!$C$6),CAPACITY_24M!B6)*($A6+(1-$A6)*ASSUMPTIONS!$C$8))*(1-ASSUMPTIONS!$C$9)),CAPACITY_24M!B12)*(CASE_TYPES!$B$14*ASSUMPTIONS!$C$30+CASE_TYPES!$B$15+CASE_TYPES!$B$16))+((MIN(((MIN((((CHANNELS!$C$4/E$5)+CHANNELS!$C$5+CHANNELS!$C$6+CHANNELS!$C$7)*ASSUMPTIONS!$C$4*ASSUMPTIONS!$C$5*ASSUMPTIONS!$C$6),CAPACITY_24M!B6)*($A6+(1-$A6)*ASSUMPTIONS!$C$8))*(1-ASSUMPTIONS!$C$9)),CAPACITY_24M!B12)*IFERROR(((MIN((((CHANNELS!$C$4/E$5)+CHANNELS!$C$5+CHANNELS!$C$6+CHANNELS!$C$7)*ASSUMPTIONS!$C$4*ASSUMPTIONS!$C$5*ASSUMPTIONS!$C$6),CAPACITY_24M!B6)*$A6*CASE_TYPES!$B$11)+(MIN((((CHANNELS!$C$4/E$5)+CHANNELS!$C$5+CHANNELS!$C$6+CHANNELS!$C$7)*ASSUMPTIONS!$C$4*ASSUMPTIONS!$C$5*ASSUMPTIONS!$C$6),CAPACITY_24M!B6)*(1-$A6)*ASSUMPTIONS!$C$8*CASE_TYPES!$B$12))/(MIN((((CHANNELS!$C$4/E$5)+CHANNELS!$C$5+CHANNELS!$C$6+CHANNELS!$C$7)*ASSUMPTIONS!$C$4*ASSUMPTIONS!$C$5*ASSUMPTIONS!$C$6),CAPACITY_24M!B6)*($A6+(1-$A6)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2187.81160727335</v>
      </c>
      <c r="F6" s="12" t="n">
        <f aca="false">(MIN(((MIN((((CHANNELS!$C$4/F$5)+CHANNELS!$C$5+CHANNELS!$C$6+CHANNELS!$C$7)*ASSUMPTIONS!$C$4*ASSUMPTIONS!$C$5*ASSUMPTIONS!$C$6),CAPACITY_24M!B6)*($A6+(1-$A6)*ASSUMPTIONS!$C$8))*(1-ASSUMPTIONS!$C$9)),CAPACITY_24M!B12)*IFERROR(((MIN((((CHANNELS!$C$4/F$5)+CHANNELS!$C$5+CHANNELS!$C$6+CHANNELS!$C$7)*ASSUMPTIONS!$C$4*ASSUMPTIONS!$C$5*ASSUMPTIONS!$C$6),CAPACITY_24M!B6)*$A6*CASE_TYPES!$B$11)+(MIN((((CHANNELS!$C$4/F$5)+CHANNELS!$C$5+CHANNELS!$C$6+CHANNELS!$C$7)*ASSUMPTIONS!$C$4*ASSUMPTIONS!$C$5*ASSUMPTIONS!$C$6),CAPACITY_24M!B6)*(1-$A6)*ASSUMPTIONS!$C$8*CASE_TYPES!$B$12))/(MIN((((CHANNELS!$C$4/F$5)+CHANNELS!$C$5+CHANNELS!$C$6+CHANNELS!$C$7)*ASSUMPTIONS!$C$4*ASSUMPTIONS!$C$5*ASSUMPTIONS!$C$6),CAPACITY_24M!B6)*($A6+(1-$A6)*ASSUMPTIONS!$C$8)),0))-(((MIN((((CHANNELS!$C$4/F$5)+CHANNELS!$C$5+CHANNELS!$C$6+CHANNELS!$C$7)*ASSUMPTIONS!$C$4*ASSUMPTIONS!$C$5*ASSUMPTIONS!$C$6),CAPACITY_24M!B6)*($A6+(1-$A6)*ASSUMPTIONS!$C$8))*ASSUMPTIONS!$C$16)+(MIN(((MIN((((CHANNELS!$C$4/F$5)+CHANNELS!$C$5+CHANNELS!$C$6+CHANNELS!$C$7)*ASSUMPTIONS!$C$4*ASSUMPTIONS!$C$5*ASSUMPTIONS!$C$6),CAPACITY_24M!B6)*($A6+(1-$A6)*ASSUMPTIONS!$C$8))*(1-ASSUMPTIONS!$C$9)),CAPACITY_24M!B12)*(CASE_TYPES!$B$14*ASSUMPTIONS!$C$30+CASE_TYPES!$B$15+CASE_TYPES!$B$16))+((MIN(((MIN((((CHANNELS!$C$4/F$5)+CHANNELS!$C$5+CHANNELS!$C$6+CHANNELS!$C$7)*ASSUMPTIONS!$C$4*ASSUMPTIONS!$C$5*ASSUMPTIONS!$C$6),CAPACITY_24M!B6)*($A6+(1-$A6)*ASSUMPTIONS!$C$8))*(1-ASSUMPTIONS!$C$9)),CAPACITY_24M!B12)*IFERROR(((MIN((((CHANNELS!$C$4/F$5)+CHANNELS!$C$5+CHANNELS!$C$6+CHANNELS!$C$7)*ASSUMPTIONS!$C$4*ASSUMPTIONS!$C$5*ASSUMPTIONS!$C$6),CAPACITY_24M!B6)*$A6*CASE_TYPES!$B$11)+(MIN((((CHANNELS!$C$4/F$5)+CHANNELS!$C$5+CHANNELS!$C$6+CHANNELS!$C$7)*ASSUMPTIONS!$C$4*ASSUMPTIONS!$C$5*ASSUMPTIONS!$C$6),CAPACITY_24M!B6)*(1-$A6)*ASSUMPTIONS!$C$8*CASE_TYPES!$B$12))/(MIN((((CHANNELS!$C$4/F$5)+CHANNELS!$C$5+CHANNELS!$C$6+CHANNELS!$C$7)*ASSUMPTIONS!$C$4*ASSUMPTIONS!$C$5*ASSUMPTIONS!$C$6),CAPACITY_24M!B6)*($A6+(1-$A6)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2448.39010727335</v>
      </c>
      <c r="G6" s="12" t="n">
        <f aca="false">(MIN(((MIN((((CHANNELS!$C$4/G$5)+CHANNELS!$C$5+CHANNELS!$C$6+CHANNELS!$C$7)*ASSUMPTIONS!$C$4*ASSUMPTIONS!$C$5*ASSUMPTIONS!$C$6),CAPACITY_24M!B6)*($A6+(1-$A6)*ASSUMPTIONS!$C$8))*(1-ASSUMPTIONS!$C$9)),CAPACITY_24M!B12)*IFERROR(((MIN((((CHANNELS!$C$4/G$5)+CHANNELS!$C$5+CHANNELS!$C$6+CHANNELS!$C$7)*ASSUMPTIONS!$C$4*ASSUMPTIONS!$C$5*ASSUMPTIONS!$C$6),CAPACITY_24M!B6)*$A6*CASE_TYPES!$B$11)+(MIN((((CHANNELS!$C$4/G$5)+CHANNELS!$C$5+CHANNELS!$C$6+CHANNELS!$C$7)*ASSUMPTIONS!$C$4*ASSUMPTIONS!$C$5*ASSUMPTIONS!$C$6),CAPACITY_24M!B6)*(1-$A6)*ASSUMPTIONS!$C$8*CASE_TYPES!$B$12))/(MIN((((CHANNELS!$C$4/G$5)+CHANNELS!$C$5+CHANNELS!$C$6+CHANNELS!$C$7)*ASSUMPTIONS!$C$4*ASSUMPTIONS!$C$5*ASSUMPTIONS!$C$6),CAPACITY_24M!B6)*($A6+(1-$A6)*ASSUMPTIONS!$C$8)),0))-(((MIN((((CHANNELS!$C$4/G$5)+CHANNELS!$C$5+CHANNELS!$C$6+CHANNELS!$C$7)*ASSUMPTIONS!$C$4*ASSUMPTIONS!$C$5*ASSUMPTIONS!$C$6),CAPACITY_24M!B6)*($A6+(1-$A6)*ASSUMPTIONS!$C$8))*ASSUMPTIONS!$C$16)+(MIN(((MIN((((CHANNELS!$C$4/G$5)+CHANNELS!$C$5+CHANNELS!$C$6+CHANNELS!$C$7)*ASSUMPTIONS!$C$4*ASSUMPTIONS!$C$5*ASSUMPTIONS!$C$6),CAPACITY_24M!B6)*($A6+(1-$A6)*ASSUMPTIONS!$C$8))*(1-ASSUMPTIONS!$C$9)),CAPACITY_24M!B12)*(CASE_TYPES!$B$14*ASSUMPTIONS!$C$30+CASE_TYPES!$B$15+CASE_TYPES!$B$16))+((MIN(((MIN((((CHANNELS!$C$4/G$5)+CHANNELS!$C$5+CHANNELS!$C$6+CHANNELS!$C$7)*ASSUMPTIONS!$C$4*ASSUMPTIONS!$C$5*ASSUMPTIONS!$C$6),CAPACITY_24M!B6)*($A6+(1-$A6)*ASSUMPTIONS!$C$8))*(1-ASSUMPTIONS!$C$9)),CAPACITY_24M!B12)*IFERROR(((MIN((((CHANNELS!$C$4/G$5)+CHANNELS!$C$5+CHANNELS!$C$6+CHANNELS!$C$7)*ASSUMPTIONS!$C$4*ASSUMPTIONS!$C$5*ASSUMPTIONS!$C$6),CAPACITY_24M!B6)*$A6*CASE_TYPES!$B$11)+(MIN((((CHANNELS!$C$4/G$5)+CHANNELS!$C$5+CHANNELS!$C$6+CHANNELS!$C$7)*ASSUMPTIONS!$C$4*ASSUMPTIONS!$C$5*ASSUMPTIONS!$C$6),CAPACITY_24M!B6)*(1-$A6)*ASSUMPTIONS!$C$8*CASE_TYPES!$B$12))/(MIN((((CHANNELS!$C$4/G$5)+CHANNELS!$C$5+CHANNELS!$C$6+CHANNELS!$C$7)*ASSUMPTIONS!$C$4*ASSUMPTIONS!$C$5*ASSUMPTIONS!$C$6),CAPACITY_24M!B6)*($A6+(1-$A6)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2656.85290727335</v>
      </c>
      <c r="H6" s="12" t="n">
        <f aca="false">(MIN(((MIN((((CHANNELS!$C$4/H$5)+CHANNELS!$C$5+CHANNELS!$C$6+CHANNELS!$C$7)*ASSUMPTIONS!$C$4*ASSUMPTIONS!$C$5*ASSUMPTIONS!$C$6),CAPACITY_24M!B6)*($A6+(1-$A6)*ASSUMPTIONS!$C$8))*(1-ASSUMPTIONS!$C$9)),CAPACITY_24M!B12)*IFERROR(((MIN((((CHANNELS!$C$4/H$5)+CHANNELS!$C$5+CHANNELS!$C$6+CHANNELS!$C$7)*ASSUMPTIONS!$C$4*ASSUMPTIONS!$C$5*ASSUMPTIONS!$C$6),CAPACITY_24M!B6)*$A6*CASE_TYPES!$B$11)+(MIN((((CHANNELS!$C$4/H$5)+CHANNELS!$C$5+CHANNELS!$C$6+CHANNELS!$C$7)*ASSUMPTIONS!$C$4*ASSUMPTIONS!$C$5*ASSUMPTIONS!$C$6),CAPACITY_24M!B6)*(1-$A6)*ASSUMPTIONS!$C$8*CASE_TYPES!$B$12))/(MIN((((CHANNELS!$C$4/H$5)+CHANNELS!$C$5+CHANNELS!$C$6+CHANNELS!$C$7)*ASSUMPTIONS!$C$4*ASSUMPTIONS!$C$5*ASSUMPTIONS!$C$6),CAPACITY_24M!B6)*($A6+(1-$A6)*ASSUMPTIONS!$C$8)),0))-(((MIN((((CHANNELS!$C$4/H$5)+CHANNELS!$C$5+CHANNELS!$C$6+CHANNELS!$C$7)*ASSUMPTIONS!$C$4*ASSUMPTIONS!$C$5*ASSUMPTIONS!$C$6),CAPACITY_24M!B6)*($A6+(1-$A6)*ASSUMPTIONS!$C$8))*ASSUMPTIONS!$C$16)+(MIN(((MIN((((CHANNELS!$C$4/H$5)+CHANNELS!$C$5+CHANNELS!$C$6+CHANNELS!$C$7)*ASSUMPTIONS!$C$4*ASSUMPTIONS!$C$5*ASSUMPTIONS!$C$6),CAPACITY_24M!B6)*($A6+(1-$A6)*ASSUMPTIONS!$C$8))*(1-ASSUMPTIONS!$C$9)),CAPACITY_24M!B12)*(CASE_TYPES!$B$14*ASSUMPTIONS!$C$30+CASE_TYPES!$B$15+CASE_TYPES!$B$16))+((MIN(((MIN((((CHANNELS!$C$4/H$5)+CHANNELS!$C$5+CHANNELS!$C$6+CHANNELS!$C$7)*ASSUMPTIONS!$C$4*ASSUMPTIONS!$C$5*ASSUMPTIONS!$C$6),CAPACITY_24M!B6)*($A6+(1-$A6)*ASSUMPTIONS!$C$8))*(1-ASSUMPTIONS!$C$9)),CAPACITY_24M!B12)*IFERROR(((MIN((((CHANNELS!$C$4/H$5)+CHANNELS!$C$5+CHANNELS!$C$6+CHANNELS!$C$7)*ASSUMPTIONS!$C$4*ASSUMPTIONS!$C$5*ASSUMPTIONS!$C$6),CAPACITY_24M!B6)*$A6*CASE_TYPES!$B$11)+(MIN((((CHANNELS!$C$4/H$5)+CHANNELS!$C$5+CHANNELS!$C$6+CHANNELS!$C$7)*ASSUMPTIONS!$C$4*ASSUMPTIONS!$C$5*ASSUMPTIONS!$C$6),CAPACITY_24M!B6)*(1-$A6)*ASSUMPTIONS!$C$8*CASE_TYPES!$B$12))/(MIN((((CHANNELS!$C$4/H$5)+CHANNELS!$C$5+CHANNELS!$C$6+CHANNELS!$C$7)*ASSUMPTIONS!$C$4*ASSUMPTIONS!$C$5*ASSUMPTIONS!$C$6),CAPACITY_24M!B6)*($A6+(1-$A6)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2969.54710727335</v>
      </c>
      <c r="I6" s="12" t="n">
        <f aca="false">(MIN(((MIN((((CHANNELS!$C$4/I$5)+CHANNELS!$C$5+CHANNELS!$C$6+CHANNELS!$C$7)*ASSUMPTIONS!$C$4*ASSUMPTIONS!$C$5*ASSUMPTIONS!$C$6),CAPACITY_24M!B6)*($A6+(1-$A6)*ASSUMPTIONS!$C$8))*(1-ASSUMPTIONS!$C$9)),CAPACITY_24M!B12)*IFERROR(((MIN((((CHANNELS!$C$4/I$5)+CHANNELS!$C$5+CHANNELS!$C$6+CHANNELS!$C$7)*ASSUMPTIONS!$C$4*ASSUMPTIONS!$C$5*ASSUMPTIONS!$C$6),CAPACITY_24M!B6)*$A6*CASE_TYPES!$B$11)+(MIN((((CHANNELS!$C$4/I$5)+CHANNELS!$C$5+CHANNELS!$C$6+CHANNELS!$C$7)*ASSUMPTIONS!$C$4*ASSUMPTIONS!$C$5*ASSUMPTIONS!$C$6),CAPACITY_24M!B6)*(1-$A6)*ASSUMPTIONS!$C$8*CASE_TYPES!$B$12))/(MIN((((CHANNELS!$C$4/I$5)+CHANNELS!$C$5+CHANNELS!$C$6+CHANNELS!$C$7)*ASSUMPTIONS!$C$4*ASSUMPTIONS!$C$5*ASSUMPTIONS!$C$6),CAPACITY_24M!B6)*($A6+(1-$A6)*ASSUMPTIONS!$C$8)),0))-(((MIN((((CHANNELS!$C$4/I$5)+CHANNELS!$C$5+CHANNELS!$C$6+CHANNELS!$C$7)*ASSUMPTIONS!$C$4*ASSUMPTIONS!$C$5*ASSUMPTIONS!$C$6),CAPACITY_24M!B6)*($A6+(1-$A6)*ASSUMPTIONS!$C$8))*ASSUMPTIONS!$C$16)+(MIN(((MIN((((CHANNELS!$C$4/I$5)+CHANNELS!$C$5+CHANNELS!$C$6+CHANNELS!$C$7)*ASSUMPTIONS!$C$4*ASSUMPTIONS!$C$5*ASSUMPTIONS!$C$6),CAPACITY_24M!B6)*($A6+(1-$A6)*ASSUMPTIONS!$C$8))*(1-ASSUMPTIONS!$C$9)),CAPACITY_24M!B12)*(CASE_TYPES!$B$14*ASSUMPTIONS!$C$30+CASE_TYPES!$B$15+CASE_TYPES!$B$16))+((MIN(((MIN((((CHANNELS!$C$4/I$5)+CHANNELS!$C$5+CHANNELS!$C$6+CHANNELS!$C$7)*ASSUMPTIONS!$C$4*ASSUMPTIONS!$C$5*ASSUMPTIONS!$C$6),CAPACITY_24M!B6)*($A6+(1-$A6)*ASSUMPTIONS!$C$8))*(1-ASSUMPTIONS!$C$9)),CAPACITY_24M!B12)*IFERROR(((MIN((((CHANNELS!$C$4/I$5)+CHANNELS!$C$5+CHANNELS!$C$6+CHANNELS!$C$7)*ASSUMPTIONS!$C$4*ASSUMPTIONS!$C$5*ASSUMPTIONS!$C$6),CAPACITY_24M!B6)*$A6*CASE_TYPES!$B$11)+(MIN((((CHANNELS!$C$4/I$5)+CHANNELS!$C$5+CHANNELS!$C$6+CHANNELS!$C$7)*ASSUMPTIONS!$C$4*ASSUMPTIONS!$C$5*ASSUMPTIONS!$C$6),CAPACITY_24M!B6)*(1-$A6)*ASSUMPTIONS!$C$8*CASE_TYPES!$B$12))/(MIN((((CHANNELS!$C$4/I$5)+CHANNELS!$C$5+CHANNELS!$C$6+CHANNELS!$C$7)*ASSUMPTIONS!$C$4*ASSUMPTIONS!$C$5*ASSUMPTIONS!$C$6),CAPACITY_24M!B6)*($A6+(1-$A6)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3192.90010727335</v>
      </c>
    </row>
    <row r="7" customFormat="false" ht="15" hidden="false" customHeight="true" outlineLevel="0" collapsed="false">
      <c r="A7" s="23" t="n">
        <v>0.35</v>
      </c>
      <c r="B7" s="12" t="n">
        <f aca="false">(MIN(((MIN((((CHANNELS!$C$4/B$5)+CHANNELS!$C$5+CHANNELS!$C$6+CHANNELS!$C$7)*ASSUMPTIONS!$C$4*ASSUMPTIONS!$C$5*ASSUMPTIONS!$C$6),CAPACITY_24M!B6)*($A7+(1-$A7)*ASSUMPTIONS!$C$8))*(1-ASSUMPTIONS!$C$9)),CAPACITY_24M!B12)*IFERROR(((MIN((((CHANNELS!$C$4/B$5)+CHANNELS!$C$5+CHANNELS!$C$6+CHANNELS!$C$7)*ASSUMPTIONS!$C$4*ASSUMPTIONS!$C$5*ASSUMPTIONS!$C$6),CAPACITY_24M!B6)*$A7*CASE_TYPES!$B$11)+(MIN((((CHANNELS!$C$4/B$5)+CHANNELS!$C$5+CHANNELS!$C$6+CHANNELS!$C$7)*ASSUMPTIONS!$C$4*ASSUMPTIONS!$C$5*ASSUMPTIONS!$C$6),CAPACITY_24M!B6)*(1-$A7)*ASSUMPTIONS!$C$8*CASE_TYPES!$B$12))/(MIN((((CHANNELS!$C$4/B$5)+CHANNELS!$C$5+CHANNELS!$C$6+CHANNELS!$C$7)*ASSUMPTIONS!$C$4*ASSUMPTIONS!$C$5*ASSUMPTIONS!$C$6),CAPACITY_24M!B6)*($A7+(1-$A7)*ASSUMPTIONS!$C$8)),0))-(((MIN((((CHANNELS!$C$4/B$5)+CHANNELS!$C$5+CHANNELS!$C$6+CHANNELS!$C$7)*ASSUMPTIONS!$C$4*ASSUMPTIONS!$C$5*ASSUMPTIONS!$C$6),CAPACITY_24M!B6)*($A7+(1-$A7)*ASSUMPTIONS!$C$8))*ASSUMPTIONS!$C$16)+(MIN(((MIN((((CHANNELS!$C$4/B$5)+CHANNELS!$C$5+CHANNELS!$C$6+CHANNELS!$C$7)*ASSUMPTIONS!$C$4*ASSUMPTIONS!$C$5*ASSUMPTIONS!$C$6),CAPACITY_24M!B6)*($A7+(1-$A7)*ASSUMPTIONS!$C$8))*(1-ASSUMPTIONS!$C$9)),CAPACITY_24M!B12)*(CASE_TYPES!$B$14*ASSUMPTIONS!$C$30+CASE_TYPES!$B$15+CASE_TYPES!$B$16))+((MIN(((MIN((((CHANNELS!$C$4/B$5)+CHANNELS!$C$5+CHANNELS!$C$6+CHANNELS!$C$7)*ASSUMPTIONS!$C$4*ASSUMPTIONS!$C$5*ASSUMPTIONS!$C$6),CAPACITY_24M!B6)*($A7+(1-$A7)*ASSUMPTIONS!$C$8))*(1-ASSUMPTIONS!$C$9)),CAPACITY_24M!B12)*IFERROR(((MIN((((CHANNELS!$C$4/B$5)+CHANNELS!$C$5+CHANNELS!$C$6+CHANNELS!$C$7)*ASSUMPTIONS!$C$4*ASSUMPTIONS!$C$5*ASSUMPTIONS!$C$6),CAPACITY_24M!B6)*$A7*CASE_TYPES!$B$11)+(MIN((((CHANNELS!$C$4/B$5)+CHANNELS!$C$5+CHANNELS!$C$6+CHANNELS!$C$7)*ASSUMPTIONS!$C$4*ASSUMPTIONS!$C$5*ASSUMPTIONS!$C$6),CAPACITY_24M!B6)*(1-$A7)*ASSUMPTIONS!$C$8*CASE_TYPES!$B$12))/(MIN((((CHANNELS!$C$4/B$5)+CHANNELS!$C$5+CHANNELS!$C$6+CHANNELS!$C$7)*ASSUMPTIONS!$C$4*ASSUMPTIONS!$C$5*ASSUMPTIONS!$C$6),CAPACITY_24M!B6)*($A7+(1-$A7)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1534.61012169696</v>
      </c>
      <c r="C7" s="12" t="n">
        <f aca="false">(MIN(((MIN((((CHANNELS!$C$4/C$5)+CHANNELS!$C$5+CHANNELS!$C$6+CHANNELS!$C$7)*ASSUMPTIONS!$C$4*ASSUMPTIONS!$C$5*ASSUMPTIONS!$C$6),CAPACITY_24M!B6)*($A7+(1-$A7)*ASSUMPTIONS!$C$8))*(1-ASSUMPTIONS!$C$9)),CAPACITY_24M!B12)*IFERROR(((MIN((((CHANNELS!$C$4/C$5)+CHANNELS!$C$5+CHANNELS!$C$6+CHANNELS!$C$7)*ASSUMPTIONS!$C$4*ASSUMPTIONS!$C$5*ASSUMPTIONS!$C$6),CAPACITY_24M!B6)*$A7*CASE_TYPES!$B$11)+(MIN((((CHANNELS!$C$4/C$5)+CHANNELS!$C$5+CHANNELS!$C$6+CHANNELS!$C$7)*ASSUMPTIONS!$C$4*ASSUMPTIONS!$C$5*ASSUMPTIONS!$C$6),CAPACITY_24M!B6)*(1-$A7)*ASSUMPTIONS!$C$8*CASE_TYPES!$B$12))/(MIN((((CHANNELS!$C$4/C$5)+CHANNELS!$C$5+CHANNELS!$C$6+CHANNELS!$C$7)*ASSUMPTIONS!$C$4*ASSUMPTIONS!$C$5*ASSUMPTIONS!$C$6),CAPACITY_24M!B6)*($A7+(1-$A7)*ASSUMPTIONS!$C$8)),0))-(((MIN((((CHANNELS!$C$4/C$5)+CHANNELS!$C$5+CHANNELS!$C$6+CHANNELS!$C$7)*ASSUMPTIONS!$C$4*ASSUMPTIONS!$C$5*ASSUMPTIONS!$C$6),CAPACITY_24M!B6)*($A7+(1-$A7)*ASSUMPTIONS!$C$8))*ASSUMPTIONS!$C$16)+(MIN(((MIN((((CHANNELS!$C$4/C$5)+CHANNELS!$C$5+CHANNELS!$C$6+CHANNELS!$C$7)*ASSUMPTIONS!$C$4*ASSUMPTIONS!$C$5*ASSUMPTIONS!$C$6),CAPACITY_24M!B6)*($A7+(1-$A7)*ASSUMPTIONS!$C$8))*(1-ASSUMPTIONS!$C$9)),CAPACITY_24M!B12)*(CASE_TYPES!$B$14*ASSUMPTIONS!$C$30+CASE_TYPES!$B$15+CASE_TYPES!$B$16))+((MIN(((MIN((((CHANNELS!$C$4/C$5)+CHANNELS!$C$5+CHANNELS!$C$6+CHANNELS!$C$7)*ASSUMPTIONS!$C$4*ASSUMPTIONS!$C$5*ASSUMPTIONS!$C$6),CAPACITY_24M!B6)*($A7+(1-$A7)*ASSUMPTIONS!$C$8))*(1-ASSUMPTIONS!$C$9)),CAPACITY_24M!B12)*IFERROR(((MIN((((CHANNELS!$C$4/C$5)+CHANNELS!$C$5+CHANNELS!$C$6+CHANNELS!$C$7)*ASSUMPTIONS!$C$4*ASSUMPTIONS!$C$5*ASSUMPTIONS!$C$6),CAPACITY_24M!B6)*$A7*CASE_TYPES!$B$11)+(MIN((((CHANNELS!$C$4/C$5)+CHANNELS!$C$5+CHANNELS!$C$6+CHANNELS!$C$7)*ASSUMPTIONS!$C$4*ASSUMPTIONS!$C$5*ASSUMPTIONS!$C$6),CAPACITY_24M!B6)*(1-$A7)*ASSUMPTIONS!$C$8*CASE_TYPES!$B$12))/(MIN((((CHANNELS!$C$4/C$5)+CHANNELS!$C$5+CHANNELS!$C$6+CHANNELS!$C$7)*ASSUMPTIONS!$C$4*ASSUMPTIONS!$C$5*ASSUMPTIONS!$C$6),CAPACITY_24M!B6)*($A7+(1-$A7)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1534.61012169696</v>
      </c>
      <c r="D7" s="12" t="n">
        <f aca="false">(MIN(((MIN((((CHANNELS!$C$4/D$5)+CHANNELS!$C$5+CHANNELS!$C$6+CHANNELS!$C$7)*ASSUMPTIONS!$C$4*ASSUMPTIONS!$C$5*ASSUMPTIONS!$C$6),CAPACITY_24M!B6)*($A7+(1-$A7)*ASSUMPTIONS!$C$8))*(1-ASSUMPTIONS!$C$9)),CAPACITY_24M!B12)*IFERROR(((MIN((((CHANNELS!$C$4/D$5)+CHANNELS!$C$5+CHANNELS!$C$6+CHANNELS!$C$7)*ASSUMPTIONS!$C$4*ASSUMPTIONS!$C$5*ASSUMPTIONS!$C$6),CAPACITY_24M!B6)*$A7*CASE_TYPES!$B$11)+(MIN((((CHANNELS!$C$4/D$5)+CHANNELS!$C$5+CHANNELS!$C$6+CHANNELS!$C$7)*ASSUMPTIONS!$C$4*ASSUMPTIONS!$C$5*ASSUMPTIONS!$C$6),CAPACITY_24M!B6)*(1-$A7)*ASSUMPTIONS!$C$8*CASE_TYPES!$B$12))/(MIN((((CHANNELS!$C$4/D$5)+CHANNELS!$C$5+CHANNELS!$C$6+CHANNELS!$C$7)*ASSUMPTIONS!$C$4*ASSUMPTIONS!$C$5*ASSUMPTIONS!$C$6),CAPACITY_24M!B6)*($A7+(1-$A7)*ASSUMPTIONS!$C$8)),0))-(((MIN((((CHANNELS!$C$4/D$5)+CHANNELS!$C$5+CHANNELS!$C$6+CHANNELS!$C$7)*ASSUMPTIONS!$C$4*ASSUMPTIONS!$C$5*ASSUMPTIONS!$C$6),CAPACITY_24M!B6)*($A7+(1-$A7)*ASSUMPTIONS!$C$8))*ASSUMPTIONS!$C$16)+(MIN(((MIN((((CHANNELS!$C$4/D$5)+CHANNELS!$C$5+CHANNELS!$C$6+CHANNELS!$C$7)*ASSUMPTIONS!$C$4*ASSUMPTIONS!$C$5*ASSUMPTIONS!$C$6),CAPACITY_24M!B6)*($A7+(1-$A7)*ASSUMPTIONS!$C$8))*(1-ASSUMPTIONS!$C$9)),CAPACITY_24M!B12)*(CASE_TYPES!$B$14*ASSUMPTIONS!$C$30+CASE_TYPES!$B$15+CASE_TYPES!$B$16))+((MIN(((MIN((((CHANNELS!$C$4/D$5)+CHANNELS!$C$5+CHANNELS!$C$6+CHANNELS!$C$7)*ASSUMPTIONS!$C$4*ASSUMPTIONS!$C$5*ASSUMPTIONS!$C$6),CAPACITY_24M!B6)*($A7+(1-$A7)*ASSUMPTIONS!$C$8))*(1-ASSUMPTIONS!$C$9)),CAPACITY_24M!B12)*IFERROR(((MIN((((CHANNELS!$C$4/D$5)+CHANNELS!$C$5+CHANNELS!$C$6+CHANNELS!$C$7)*ASSUMPTIONS!$C$4*ASSUMPTIONS!$C$5*ASSUMPTIONS!$C$6),CAPACITY_24M!B6)*$A7*CASE_TYPES!$B$11)+(MIN((((CHANNELS!$C$4/D$5)+CHANNELS!$C$5+CHANNELS!$C$6+CHANNELS!$C$7)*ASSUMPTIONS!$C$4*ASSUMPTIONS!$C$5*ASSUMPTIONS!$C$6),CAPACITY_24M!B6)*(1-$A7)*ASSUMPTIONS!$C$8*CASE_TYPES!$B$12))/(MIN((((CHANNELS!$C$4/D$5)+CHANNELS!$C$5+CHANNELS!$C$6+CHANNELS!$C$7)*ASSUMPTIONS!$C$4*ASSUMPTIONS!$C$5*ASSUMPTIONS!$C$6),CAPACITY_24M!B6)*($A7+(1-$A7)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1534.61012169696</v>
      </c>
      <c r="E7" s="12" t="n">
        <f aca="false">(MIN(((MIN((((CHANNELS!$C$4/E$5)+CHANNELS!$C$5+CHANNELS!$C$6+CHANNELS!$C$7)*ASSUMPTIONS!$C$4*ASSUMPTIONS!$C$5*ASSUMPTIONS!$C$6),CAPACITY_24M!B6)*($A7+(1-$A7)*ASSUMPTIONS!$C$8))*(1-ASSUMPTIONS!$C$9)),CAPACITY_24M!B12)*IFERROR(((MIN((((CHANNELS!$C$4/E$5)+CHANNELS!$C$5+CHANNELS!$C$6+CHANNELS!$C$7)*ASSUMPTIONS!$C$4*ASSUMPTIONS!$C$5*ASSUMPTIONS!$C$6),CAPACITY_24M!B6)*$A7*CASE_TYPES!$B$11)+(MIN((((CHANNELS!$C$4/E$5)+CHANNELS!$C$5+CHANNELS!$C$6+CHANNELS!$C$7)*ASSUMPTIONS!$C$4*ASSUMPTIONS!$C$5*ASSUMPTIONS!$C$6),CAPACITY_24M!B6)*(1-$A7)*ASSUMPTIONS!$C$8*CASE_TYPES!$B$12))/(MIN((((CHANNELS!$C$4/E$5)+CHANNELS!$C$5+CHANNELS!$C$6+CHANNELS!$C$7)*ASSUMPTIONS!$C$4*ASSUMPTIONS!$C$5*ASSUMPTIONS!$C$6),CAPACITY_24M!B6)*($A7+(1-$A7)*ASSUMPTIONS!$C$8)),0))-(((MIN((((CHANNELS!$C$4/E$5)+CHANNELS!$C$5+CHANNELS!$C$6+CHANNELS!$C$7)*ASSUMPTIONS!$C$4*ASSUMPTIONS!$C$5*ASSUMPTIONS!$C$6),CAPACITY_24M!B6)*($A7+(1-$A7)*ASSUMPTIONS!$C$8))*ASSUMPTIONS!$C$16)+(MIN(((MIN((((CHANNELS!$C$4/E$5)+CHANNELS!$C$5+CHANNELS!$C$6+CHANNELS!$C$7)*ASSUMPTIONS!$C$4*ASSUMPTIONS!$C$5*ASSUMPTIONS!$C$6),CAPACITY_24M!B6)*($A7+(1-$A7)*ASSUMPTIONS!$C$8))*(1-ASSUMPTIONS!$C$9)),CAPACITY_24M!B12)*(CASE_TYPES!$B$14*ASSUMPTIONS!$C$30+CASE_TYPES!$B$15+CASE_TYPES!$B$16))+((MIN(((MIN((((CHANNELS!$C$4/E$5)+CHANNELS!$C$5+CHANNELS!$C$6+CHANNELS!$C$7)*ASSUMPTIONS!$C$4*ASSUMPTIONS!$C$5*ASSUMPTIONS!$C$6),CAPACITY_24M!B6)*($A7+(1-$A7)*ASSUMPTIONS!$C$8))*(1-ASSUMPTIONS!$C$9)),CAPACITY_24M!B12)*IFERROR(((MIN((((CHANNELS!$C$4/E$5)+CHANNELS!$C$5+CHANNELS!$C$6+CHANNELS!$C$7)*ASSUMPTIONS!$C$4*ASSUMPTIONS!$C$5*ASSUMPTIONS!$C$6),CAPACITY_24M!B6)*$A7*CASE_TYPES!$B$11)+(MIN((((CHANNELS!$C$4/E$5)+CHANNELS!$C$5+CHANNELS!$C$6+CHANNELS!$C$7)*ASSUMPTIONS!$C$4*ASSUMPTIONS!$C$5*ASSUMPTIONS!$C$6),CAPACITY_24M!B6)*(1-$A7)*ASSUMPTIONS!$C$8*CASE_TYPES!$B$12))/(MIN((((CHANNELS!$C$4/E$5)+CHANNELS!$C$5+CHANNELS!$C$6+CHANNELS!$C$7)*ASSUMPTIONS!$C$4*ASSUMPTIONS!$C$5*ASSUMPTIONS!$C$6),CAPACITY_24M!B6)*($A7+(1-$A7)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1823.35122043278</v>
      </c>
      <c r="F7" s="12" t="n">
        <f aca="false">(MIN(((MIN((((CHANNELS!$C$4/F$5)+CHANNELS!$C$5+CHANNELS!$C$6+CHANNELS!$C$7)*ASSUMPTIONS!$C$4*ASSUMPTIONS!$C$5*ASSUMPTIONS!$C$6),CAPACITY_24M!B6)*($A7+(1-$A7)*ASSUMPTIONS!$C$8))*(1-ASSUMPTIONS!$C$9)),CAPACITY_24M!B12)*IFERROR(((MIN((((CHANNELS!$C$4/F$5)+CHANNELS!$C$5+CHANNELS!$C$6+CHANNELS!$C$7)*ASSUMPTIONS!$C$4*ASSUMPTIONS!$C$5*ASSUMPTIONS!$C$6),CAPACITY_24M!B6)*$A7*CASE_TYPES!$B$11)+(MIN((((CHANNELS!$C$4/F$5)+CHANNELS!$C$5+CHANNELS!$C$6+CHANNELS!$C$7)*ASSUMPTIONS!$C$4*ASSUMPTIONS!$C$5*ASSUMPTIONS!$C$6),CAPACITY_24M!B6)*(1-$A7)*ASSUMPTIONS!$C$8*CASE_TYPES!$B$12))/(MIN((((CHANNELS!$C$4/F$5)+CHANNELS!$C$5+CHANNELS!$C$6+CHANNELS!$C$7)*ASSUMPTIONS!$C$4*ASSUMPTIONS!$C$5*ASSUMPTIONS!$C$6),CAPACITY_24M!B6)*($A7+(1-$A7)*ASSUMPTIONS!$C$8)),0))-(((MIN((((CHANNELS!$C$4/F$5)+CHANNELS!$C$5+CHANNELS!$C$6+CHANNELS!$C$7)*ASSUMPTIONS!$C$4*ASSUMPTIONS!$C$5*ASSUMPTIONS!$C$6),CAPACITY_24M!B6)*($A7+(1-$A7)*ASSUMPTIONS!$C$8))*ASSUMPTIONS!$C$16)+(MIN(((MIN((((CHANNELS!$C$4/F$5)+CHANNELS!$C$5+CHANNELS!$C$6+CHANNELS!$C$7)*ASSUMPTIONS!$C$4*ASSUMPTIONS!$C$5*ASSUMPTIONS!$C$6),CAPACITY_24M!B6)*($A7+(1-$A7)*ASSUMPTIONS!$C$8))*(1-ASSUMPTIONS!$C$9)),CAPACITY_24M!B12)*(CASE_TYPES!$B$14*ASSUMPTIONS!$C$30+CASE_TYPES!$B$15+CASE_TYPES!$B$16))+((MIN(((MIN((((CHANNELS!$C$4/F$5)+CHANNELS!$C$5+CHANNELS!$C$6+CHANNELS!$C$7)*ASSUMPTIONS!$C$4*ASSUMPTIONS!$C$5*ASSUMPTIONS!$C$6),CAPACITY_24M!B6)*($A7+(1-$A7)*ASSUMPTIONS!$C$8))*(1-ASSUMPTIONS!$C$9)),CAPACITY_24M!B12)*IFERROR(((MIN((((CHANNELS!$C$4/F$5)+CHANNELS!$C$5+CHANNELS!$C$6+CHANNELS!$C$7)*ASSUMPTIONS!$C$4*ASSUMPTIONS!$C$5*ASSUMPTIONS!$C$6),CAPACITY_24M!B6)*$A7*CASE_TYPES!$B$11)+(MIN((((CHANNELS!$C$4/F$5)+CHANNELS!$C$5+CHANNELS!$C$6+CHANNELS!$C$7)*ASSUMPTIONS!$C$4*ASSUMPTIONS!$C$5*ASSUMPTIONS!$C$6),CAPACITY_24M!B6)*(1-$A7)*ASSUMPTIONS!$C$8*CASE_TYPES!$B$12))/(MIN((((CHANNELS!$C$4/F$5)+CHANNELS!$C$5+CHANNELS!$C$6+CHANNELS!$C$7)*ASSUMPTIONS!$C$4*ASSUMPTIONS!$C$5*ASSUMPTIONS!$C$6),CAPACITY_24M!B6)*($A7+(1-$A7)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2132.90592043278</v>
      </c>
      <c r="G7" s="12" t="n">
        <f aca="false">(MIN(((MIN((((CHANNELS!$C$4/G$5)+CHANNELS!$C$5+CHANNELS!$C$6+CHANNELS!$C$7)*ASSUMPTIONS!$C$4*ASSUMPTIONS!$C$5*ASSUMPTIONS!$C$6),CAPACITY_24M!B6)*($A7+(1-$A7)*ASSUMPTIONS!$C$8))*(1-ASSUMPTIONS!$C$9)),CAPACITY_24M!B12)*IFERROR(((MIN((((CHANNELS!$C$4/G$5)+CHANNELS!$C$5+CHANNELS!$C$6+CHANNELS!$C$7)*ASSUMPTIONS!$C$4*ASSUMPTIONS!$C$5*ASSUMPTIONS!$C$6),CAPACITY_24M!B6)*$A7*CASE_TYPES!$B$11)+(MIN((((CHANNELS!$C$4/G$5)+CHANNELS!$C$5+CHANNELS!$C$6+CHANNELS!$C$7)*ASSUMPTIONS!$C$4*ASSUMPTIONS!$C$5*ASSUMPTIONS!$C$6),CAPACITY_24M!B6)*(1-$A7)*ASSUMPTIONS!$C$8*CASE_TYPES!$B$12))/(MIN((((CHANNELS!$C$4/G$5)+CHANNELS!$C$5+CHANNELS!$C$6+CHANNELS!$C$7)*ASSUMPTIONS!$C$4*ASSUMPTIONS!$C$5*ASSUMPTIONS!$C$6),CAPACITY_24M!B6)*($A7+(1-$A7)*ASSUMPTIONS!$C$8)),0))-(((MIN((((CHANNELS!$C$4/G$5)+CHANNELS!$C$5+CHANNELS!$C$6+CHANNELS!$C$7)*ASSUMPTIONS!$C$4*ASSUMPTIONS!$C$5*ASSUMPTIONS!$C$6),CAPACITY_24M!B6)*($A7+(1-$A7)*ASSUMPTIONS!$C$8))*ASSUMPTIONS!$C$16)+(MIN(((MIN((((CHANNELS!$C$4/G$5)+CHANNELS!$C$5+CHANNELS!$C$6+CHANNELS!$C$7)*ASSUMPTIONS!$C$4*ASSUMPTIONS!$C$5*ASSUMPTIONS!$C$6),CAPACITY_24M!B6)*($A7+(1-$A7)*ASSUMPTIONS!$C$8))*(1-ASSUMPTIONS!$C$9)),CAPACITY_24M!B12)*(CASE_TYPES!$B$14*ASSUMPTIONS!$C$30+CASE_TYPES!$B$15+CASE_TYPES!$B$16))+((MIN(((MIN((((CHANNELS!$C$4/G$5)+CHANNELS!$C$5+CHANNELS!$C$6+CHANNELS!$C$7)*ASSUMPTIONS!$C$4*ASSUMPTIONS!$C$5*ASSUMPTIONS!$C$6),CAPACITY_24M!B6)*($A7+(1-$A7)*ASSUMPTIONS!$C$8))*(1-ASSUMPTIONS!$C$9)),CAPACITY_24M!B12)*IFERROR(((MIN((((CHANNELS!$C$4/G$5)+CHANNELS!$C$5+CHANNELS!$C$6+CHANNELS!$C$7)*ASSUMPTIONS!$C$4*ASSUMPTIONS!$C$5*ASSUMPTIONS!$C$6),CAPACITY_24M!B6)*$A7*CASE_TYPES!$B$11)+(MIN((((CHANNELS!$C$4/G$5)+CHANNELS!$C$5+CHANNELS!$C$6+CHANNELS!$C$7)*ASSUMPTIONS!$C$4*ASSUMPTIONS!$C$5*ASSUMPTIONS!$C$6),CAPACITY_24M!B6)*(1-$A7)*ASSUMPTIONS!$C$8*CASE_TYPES!$B$12))/(MIN((((CHANNELS!$C$4/G$5)+CHANNELS!$C$5+CHANNELS!$C$6+CHANNELS!$C$7)*ASSUMPTIONS!$C$4*ASSUMPTIONS!$C$5*ASSUMPTIONS!$C$6),CAPACITY_24M!B6)*($A7+(1-$A7)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2380.54968043278</v>
      </c>
      <c r="H7" s="12" t="n">
        <f aca="false">(MIN(((MIN((((CHANNELS!$C$4/H$5)+CHANNELS!$C$5+CHANNELS!$C$6+CHANNELS!$C$7)*ASSUMPTIONS!$C$4*ASSUMPTIONS!$C$5*ASSUMPTIONS!$C$6),CAPACITY_24M!B6)*($A7+(1-$A7)*ASSUMPTIONS!$C$8))*(1-ASSUMPTIONS!$C$9)),CAPACITY_24M!B12)*IFERROR(((MIN((((CHANNELS!$C$4/H$5)+CHANNELS!$C$5+CHANNELS!$C$6+CHANNELS!$C$7)*ASSUMPTIONS!$C$4*ASSUMPTIONS!$C$5*ASSUMPTIONS!$C$6),CAPACITY_24M!B6)*$A7*CASE_TYPES!$B$11)+(MIN((((CHANNELS!$C$4/H$5)+CHANNELS!$C$5+CHANNELS!$C$6+CHANNELS!$C$7)*ASSUMPTIONS!$C$4*ASSUMPTIONS!$C$5*ASSUMPTIONS!$C$6),CAPACITY_24M!B6)*(1-$A7)*ASSUMPTIONS!$C$8*CASE_TYPES!$B$12))/(MIN((((CHANNELS!$C$4/H$5)+CHANNELS!$C$5+CHANNELS!$C$6+CHANNELS!$C$7)*ASSUMPTIONS!$C$4*ASSUMPTIONS!$C$5*ASSUMPTIONS!$C$6),CAPACITY_24M!B6)*($A7+(1-$A7)*ASSUMPTIONS!$C$8)),0))-(((MIN((((CHANNELS!$C$4/H$5)+CHANNELS!$C$5+CHANNELS!$C$6+CHANNELS!$C$7)*ASSUMPTIONS!$C$4*ASSUMPTIONS!$C$5*ASSUMPTIONS!$C$6),CAPACITY_24M!B6)*($A7+(1-$A7)*ASSUMPTIONS!$C$8))*ASSUMPTIONS!$C$16)+(MIN(((MIN((((CHANNELS!$C$4/H$5)+CHANNELS!$C$5+CHANNELS!$C$6+CHANNELS!$C$7)*ASSUMPTIONS!$C$4*ASSUMPTIONS!$C$5*ASSUMPTIONS!$C$6),CAPACITY_24M!B6)*($A7+(1-$A7)*ASSUMPTIONS!$C$8))*(1-ASSUMPTIONS!$C$9)),CAPACITY_24M!B12)*(CASE_TYPES!$B$14*ASSUMPTIONS!$C$30+CASE_TYPES!$B$15+CASE_TYPES!$B$16))+((MIN(((MIN((((CHANNELS!$C$4/H$5)+CHANNELS!$C$5+CHANNELS!$C$6+CHANNELS!$C$7)*ASSUMPTIONS!$C$4*ASSUMPTIONS!$C$5*ASSUMPTIONS!$C$6),CAPACITY_24M!B6)*($A7+(1-$A7)*ASSUMPTIONS!$C$8))*(1-ASSUMPTIONS!$C$9)),CAPACITY_24M!B12)*IFERROR(((MIN((((CHANNELS!$C$4/H$5)+CHANNELS!$C$5+CHANNELS!$C$6+CHANNELS!$C$7)*ASSUMPTIONS!$C$4*ASSUMPTIONS!$C$5*ASSUMPTIONS!$C$6),CAPACITY_24M!B6)*$A7*CASE_TYPES!$B$11)+(MIN((((CHANNELS!$C$4/H$5)+CHANNELS!$C$5+CHANNELS!$C$6+CHANNELS!$C$7)*ASSUMPTIONS!$C$4*ASSUMPTIONS!$C$5*ASSUMPTIONS!$C$6),CAPACITY_24M!B6)*(1-$A7)*ASSUMPTIONS!$C$8*CASE_TYPES!$B$12))/(MIN((((CHANNELS!$C$4/H$5)+CHANNELS!$C$5+CHANNELS!$C$6+CHANNELS!$C$7)*ASSUMPTIONS!$C$4*ASSUMPTIONS!$C$5*ASSUMPTIONS!$C$6),CAPACITY_24M!B6)*($A7+(1-$A7)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2752.01532043278</v>
      </c>
      <c r="I7" s="12" t="n">
        <f aca="false">(MIN(((MIN((((CHANNELS!$C$4/I$5)+CHANNELS!$C$5+CHANNELS!$C$6+CHANNELS!$C$7)*ASSUMPTIONS!$C$4*ASSUMPTIONS!$C$5*ASSUMPTIONS!$C$6),CAPACITY_24M!B6)*($A7+(1-$A7)*ASSUMPTIONS!$C$8))*(1-ASSUMPTIONS!$C$9)),CAPACITY_24M!B12)*IFERROR(((MIN((((CHANNELS!$C$4/I$5)+CHANNELS!$C$5+CHANNELS!$C$6+CHANNELS!$C$7)*ASSUMPTIONS!$C$4*ASSUMPTIONS!$C$5*ASSUMPTIONS!$C$6),CAPACITY_24M!B6)*$A7*CASE_TYPES!$B$11)+(MIN((((CHANNELS!$C$4/I$5)+CHANNELS!$C$5+CHANNELS!$C$6+CHANNELS!$C$7)*ASSUMPTIONS!$C$4*ASSUMPTIONS!$C$5*ASSUMPTIONS!$C$6),CAPACITY_24M!B6)*(1-$A7)*ASSUMPTIONS!$C$8*CASE_TYPES!$B$12))/(MIN((((CHANNELS!$C$4/I$5)+CHANNELS!$C$5+CHANNELS!$C$6+CHANNELS!$C$7)*ASSUMPTIONS!$C$4*ASSUMPTIONS!$C$5*ASSUMPTIONS!$C$6),CAPACITY_24M!B6)*($A7+(1-$A7)*ASSUMPTIONS!$C$8)),0))-(((MIN((((CHANNELS!$C$4/I$5)+CHANNELS!$C$5+CHANNELS!$C$6+CHANNELS!$C$7)*ASSUMPTIONS!$C$4*ASSUMPTIONS!$C$5*ASSUMPTIONS!$C$6),CAPACITY_24M!B6)*($A7+(1-$A7)*ASSUMPTIONS!$C$8))*ASSUMPTIONS!$C$16)+(MIN(((MIN((((CHANNELS!$C$4/I$5)+CHANNELS!$C$5+CHANNELS!$C$6+CHANNELS!$C$7)*ASSUMPTIONS!$C$4*ASSUMPTIONS!$C$5*ASSUMPTIONS!$C$6),CAPACITY_24M!B6)*($A7+(1-$A7)*ASSUMPTIONS!$C$8))*(1-ASSUMPTIONS!$C$9)),CAPACITY_24M!B12)*(CASE_TYPES!$B$14*ASSUMPTIONS!$C$30+CASE_TYPES!$B$15+CASE_TYPES!$B$16))+((MIN(((MIN((((CHANNELS!$C$4/I$5)+CHANNELS!$C$5+CHANNELS!$C$6+CHANNELS!$C$7)*ASSUMPTIONS!$C$4*ASSUMPTIONS!$C$5*ASSUMPTIONS!$C$6),CAPACITY_24M!B6)*($A7+(1-$A7)*ASSUMPTIONS!$C$8))*(1-ASSUMPTIONS!$C$9)),CAPACITY_24M!B12)*IFERROR(((MIN((((CHANNELS!$C$4/I$5)+CHANNELS!$C$5+CHANNELS!$C$6+CHANNELS!$C$7)*ASSUMPTIONS!$C$4*ASSUMPTIONS!$C$5*ASSUMPTIONS!$C$6),CAPACITY_24M!B6)*$A7*CASE_TYPES!$B$11)+(MIN((((CHANNELS!$C$4/I$5)+CHANNELS!$C$5+CHANNELS!$C$6+CHANNELS!$C$7)*ASSUMPTIONS!$C$4*ASSUMPTIONS!$C$5*ASSUMPTIONS!$C$6),CAPACITY_24M!B6)*(1-$A7)*ASSUMPTIONS!$C$8*CASE_TYPES!$B$12))/(MIN((((CHANNELS!$C$4/I$5)+CHANNELS!$C$5+CHANNELS!$C$6+CHANNELS!$C$7)*ASSUMPTIONS!$C$4*ASSUMPTIONS!$C$5*ASSUMPTIONS!$C$6),CAPACITY_24M!B6)*($A7+(1-$A7)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3017.34792043278</v>
      </c>
    </row>
    <row r="8" customFormat="false" ht="15" hidden="false" customHeight="true" outlineLevel="0" collapsed="false">
      <c r="A8" s="23" t="n">
        <v>0.45</v>
      </c>
      <c r="B8" s="12" t="n">
        <f aca="false">(MIN(((MIN((((CHANNELS!$C$4/B$5)+CHANNELS!$C$5+CHANNELS!$C$6+CHANNELS!$C$7)*ASSUMPTIONS!$C$4*ASSUMPTIONS!$C$5*ASSUMPTIONS!$C$6),CAPACITY_24M!B6)*($A8+(1-$A8)*ASSUMPTIONS!$C$8))*(1-ASSUMPTIONS!$C$9)),CAPACITY_24M!B12)*IFERROR(((MIN((((CHANNELS!$C$4/B$5)+CHANNELS!$C$5+CHANNELS!$C$6+CHANNELS!$C$7)*ASSUMPTIONS!$C$4*ASSUMPTIONS!$C$5*ASSUMPTIONS!$C$6),CAPACITY_24M!B6)*$A8*CASE_TYPES!$B$11)+(MIN((((CHANNELS!$C$4/B$5)+CHANNELS!$C$5+CHANNELS!$C$6+CHANNELS!$C$7)*ASSUMPTIONS!$C$4*ASSUMPTIONS!$C$5*ASSUMPTIONS!$C$6),CAPACITY_24M!B6)*(1-$A8)*ASSUMPTIONS!$C$8*CASE_TYPES!$B$12))/(MIN((((CHANNELS!$C$4/B$5)+CHANNELS!$C$5+CHANNELS!$C$6+CHANNELS!$C$7)*ASSUMPTIONS!$C$4*ASSUMPTIONS!$C$5*ASSUMPTIONS!$C$6),CAPACITY_24M!B6)*($A8+(1-$A8)*ASSUMPTIONS!$C$8)),0))-(((MIN((((CHANNELS!$C$4/B$5)+CHANNELS!$C$5+CHANNELS!$C$6+CHANNELS!$C$7)*ASSUMPTIONS!$C$4*ASSUMPTIONS!$C$5*ASSUMPTIONS!$C$6),CAPACITY_24M!B6)*($A8+(1-$A8)*ASSUMPTIONS!$C$8))*ASSUMPTIONS!$C$16)+(MIN(((MIN((((CHANNELS!$C$4/B$5)+CHANNELS!$C$5+CHANNELS!$C$6+CHANNELS!$C$7)*ASSUMPTIONS!$C$4*ASSUMPTIONS!$C$5*ASSUMPTIONS!$C$6),CAPACITY_24M!B6)*($A8+(1-$A8)*ASSUMPTIONS!$C$8))*(1-ASSUMPTIONS!$C$9)),CAPACITY_24M!B12)*(CASE_TYPES!$B$14*ASSUMPTIONS!$C$30+CASE_TYPES!$B$15+CASE_TYPES!$B$16))+((MIN(((MIN((((CHANNELS!$C$4/B$5)+CHANNELS!$C$5+CHANNELS!$C$6+CHANNELS!$C$7)*ASSUMPTIONS!$C$4*ASSUMPTIONS!$C$5*ASSUMPTIONS!$C$6),CAPACITY_24M!B6)*($A8+(1-$A8)*ASSUMPTIONS!$C$8))*(1-ASSUMPTIONS!$C$9)),CAPACITY_24M!B12)*IFERROR(((MIN((((CHANNELS!$C$4/B$5)+CHANNELS!$C$5+CHANNELS!$C$6+CHANNELS!$C$7)*ASSUMPTIONS!$C$4*ASSUMPTIONS!$C$5*ASSUMPTIONS!$C$6),CAPACITY_24M!B6)*$A8*CASE_TYPES!$B$11)+(MIN((((CHANNELS!$C$4/B$5)+CHANNELS!$C$5+CHANNELS!$C$6+CHANNELS!$C$7)*ASSUMPTIONS!$C$4*ASSUMPTIONS!$C$5*ASSUMPTIONS!$C$6),CAPACITY_24M!B6)*(1-$A8)*ASSUMPTIONS!$C$8*CASE_TYPES!$B$12))/(MIN((((CHANNELS!$C$4/B$5)+CHANNELS!$C$5+CHANNELS!$C$6+CHANNELS!$C$7)*ASSUMPTIONS!$C$4*ASSUMPTIONS!$C$5*ASSUMPTIONS!$C$6),CAPACITY_24M!B6)*($A8+(1-$A8)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1090.76876535775</v>
      </c>
      <c r="C8" s="12" t="n">
        <f aca="false">(MIN(((MIN((((CHANNELS!$C$4/C$5)+CHANNELS!$C$5+CHANNELS!$C$6+CHANNELS!$C$7)*ASSUMPTIONS!$C$4*ASSUMPTIONS!$C$5*ASSUMPTIONS!$C$6),CAPACITY_24M!B6)*($A8+(1-$A8)*ASSUMPTIONS!$C$8))*(1-ASSUMPTIONS!$C$9)),CAPACITY_24M!B12)*IFERROR(((MIN((((CHANNELS!$C$4/C$5)+CHANNELS!$C$5+CHANNELS!$C$6+CHANNELS!$C$7)*ASSUMPTIONS!$C$4*ASSUMPTIONS!$C$5*ASSUMPTIONS!$C$6),CAPACITY_24M!B6)*$A8*CASE_TYPES!$B$11)+(MIN((((CHANNELS!$C$4/C$5)+CHANNELS!$C$5+CHANNELS!$C$6+CHANNELS!$C$7)*ASSUMPTIONS!$C$4*ASSUMPTIONS!$C$5*ASSUMPTIONS!$C$6),CAPACITY_24M!B6)*(1-$A8)*ASSUMPTIONS!$C$8*CASE_TYPES!$B$12))/(MIN((((CHANNELS!$C$4/C$5)+CHANNELS!$C$5+CHANNELS!$C$6+CHANNELS!$C$7)*ASSUMPTIONS!$C$4*ASSUMPTIONS!$C$5*ASSUMPTIONS!$C$6),CAPACITY_24M!B6)*($A8+(1-$A8)*ASSUMPTIONS!$C$8)),0))-(((MIN((((CHANNELS!$C$4/C$5)+CHANNELS!$C$5+CHANNELS!$C$6+CHANNELS!$C$7)*ASSUMPTIONS!$C$4*ASSUMPTIONS!$C$5*ASSUMPTIONS!$C$6),CAPACITY_24M!B6)*($A8+(1-$A8)*ASSUMPTIONS!$C$8))*ASSUMPTIONS!$C$16)+(MIN(((MIN((((CHANNELS!$C$4/C$5)+CHANNELS!$C$5+CHANNELS!$C$6+CHANNELS!$C$7)*ASSUMPTIONS!$C$4*ASSUMPTIONS!$C$5*ASSUMPTIONS!$C$6),CAPACITY_24M!B6)*($A8+(1-$A8)*ASSUMPTIONS!$C$8))*(1-ASSUMPTIONS!$C$9)),CAPACITY_24M!B12)*(CASE_TYPES!$B$14*ASSUMPTIONS!$C$30+CASE_TYPES!$B$15+CASE_TYPES!$B$16))+((MIN(((MIN((((CHANNELS!$C$4/C$5)+CHANNELS!$C$5+CHANNELS!$C$6+CHANNELS!$C$7)*ASSUMPTIONS!$C$4*ASSUMPTIONS!$C$5*ASSUMPTIONS!$C$6),CAPACITY_24M!B6)*($A8+(1-$A8)*ASSUMPTIONS!$C$8))*(1-ASSUMPTIONS!$C$9)),CAPACITY_24M!B12)*IFERROR(((MIN((((CHANNELS!$C$4/C$5)+CHANNELS!$C$5+CHANNELS!$C$6+CHANNELS!$C$7)*ASSUMPTIONS!$C$4*ASSUMPTIONS!$C$5*ASSUMPTIONS!$C$6),CAPACITY_24M!B6)*$A8*CASE_TYPES!$B$11)+(MIN((((CHANNELS!$C$4/C$5)+CHANNELS!$C$5+CHANNELS!$C$6+CHANNELS!$C$7)*ASSUMPTIONS!$C$4*ASSUMPTIONS!$C$5*ASSUMPTIONS!$C$6),CAPACITY_24M!B6)*(1-$A8)*ASSUMPTIONS!$C$8*CASE_TYPES!$B$12))/(MIN((((CHANNELS!$C$4/C$5)+CHANNELS!$C$5+CHANNELS!$C$6+CHANNELS!$C$7)*ASSUMPTIONS!$C$4*ASSUMPTIONS!$C$5*ASSUMPTIONS!$C$6),CAPACITY_24M!B6)*($A8+(1-$A8)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1090.76876535775</v>
      </c>
      <c r="D8" s="12" t="n">
        <f aca="false">(MIN(((MIN((((CHANNELS!$C$4/D$5)+CHANNELS!$C$5+CHANNELS!$C$6+CHANNELS!$C$7)*ASSUMPTIONS!$C$4*ASSUMPTIONS!$C$5*ASSUMPTIONS!$C$6),CAPACITY_24M!B6)*($A8+(1-$A8)*ASSUMPTIONS!$C$8))*(1-ASSUMPTIONS!$C$9)),CAPACITY_24M!B12)*IFERROR(((MIN((((CHANNELS!$C$4/D$5)+CHANNELS!$C$5+CHANNELS!$C$6+CHANNELS!$C$7)*ASSUMPTIONS!$C$4*ASSUMPTIONS!$C$5*ASSUMPTIONS!$C$6),CAPACITY_24M!B6)*$A8*CASE_TYPES!$B$11)+(MIN((((CHANNELS!$C$4/D$5)+CHANNELS!$C$5+CHANNELS!$C$6+CHANNELS!$C$7)*ASSUMPTIONS!$C$4*ASSUMPTIONS!$C$5*ASSUMPTIONS!$C$6),CAPACITY_24M!B6)*(1-$A8)*ASSUMPTIONS!$C$8*CASE_TYPES!$B$12))/(MIN((((CHANNELS!$C$4/D$5)+CHANNELS!$C$5+CHANNELS!$C$6+CHANNELS!$C$7)*ASSUMPTIONS!$C$4*ASSUMPTIONS!$C$5*ASSUMPTIONS!$C$6),CAPACITY_24M!B6)*($A8+(1-$A8)*ASSUMPTIONS!$C$8)),0))-(((MIN((((CHANNELS!$C$4/D$5)+CHANNELS!$C$5+CHANNELS!$C$6+CHANNELS!$C$7)*ASSUMPTIONS!$C$4*ASSUMPTIONS!$C$5*ASSUMPTIONS!$C$6),CAPACITY_24M!B6)*($A8+(1-$A8)*ASSUMPTIONS!$C$8))*ASSUMPTIONS!$C$16)+(MIN(((MIN((((CHANNELS!$C$4/D$5)+CHANNELS!$C$5+CHANNELS!$C$6+CHANNELS!$C$7)*ASSUMPTIONS!$C$4*ASSUMPTIONS!$C$5*ASSUMPTIONS!$C$6),CAPACITY_24M!B6)*($A8+(1-$A8)*ASSUMPTIONS!$C$8))*(1-ASSUMPTIONS!$C$9)),CAPACITY_24M!B12)*(CASE_TYPES!$B$14*ASSUMPTIONS!$C$30+CASE_TYPES!$B$15+CASE_TYPES!$B$16))+((MIN(((MIN((((CHANNELS!$C$4/D$5)+CHANNELS!$C$5+CHANNELS!$C$6+CHANNELS!$C$7)*ASSUMPTIONS!$C$4*ASSUMPTIONS!$C$5*ASSUMPTIONS!$C$6),CAPACITY_24M!B6)*($A8+(1-$A8)*ASSUMPTIONS!$C$8))*(1-ASSUMPTIONS!$C$9)),CAPACITY_24M!B12)*IFERROR(((MIN((((CHANNELS!$C$4/D$5)+CHANNELS!$C$5+CHANNELS!$C$6+CHANNELS!$C$7)*ASSUMPTIONS!$C$4*ASSUMPTIONS!$C$5*ASSUMPTIONS!$C$6),CAPACITY_24M!B6)*$A8*CASE_TYPES!$B$11)+(MIN((((CHANNELS!$C$4/D$5)+CHANNELS!$C$5+CHANNELS!$C$6+CHANNELS!$C$7)*ASSUMPTIONS!$C$4*ASSUMPTIONS!$C$5*ASSUMPTIONS!$C$6),CAPACITY_24M!B6)*(1-$A8)*ASSUMPTIONS!$C$8*CASE_TYPES!$B$12))/(MIN((((CHANNELS!$C$4/D$5)+CHANNELS!$C$5+CHANNELS!$C$6+CHANNELS!$C$7)*ASSUMPTIONS!$C$4*ASSUMPTIONS!$C$5*ASSUMPTIONS!$C$6),CAPACITY_24M!B6)*($A8+(1-$A8)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1090.76876535775</v>
      </c>
      <c r="E8" s="12" t="n">
        <f aca="false">(MIN(((MIN((((CHANNELS!$C$4/E$5)+CHANNELS!$C$5+CHANNELS!$C$6+CHANNELS!$C$7)*ASSUMPTIONS!$C$4*ASSUMPTIONS!$C$5*ASSUMPTIONS!$C$6),CAPACITY_24M!B6)*($A8+(1-$A8)*ASSUMPTIONS!$C$8))*(1-ASSUMPTIONS!$C$9)),CAPACITY_24M!B12)*IFERROR(((MIN((((CHANNELS!$C$4/E$5)+CHANNELS!$C$5+CHANNELS!$C$6+CHANNELS!$C$7)*ASSUMPTIONS!$C$4*ASSUMPTIONS!$C$5*ASSUMPTIONS!$C$6),CAPACITY_24M!B6)*$A8*CASE_TYPES!$B$11)+(MIN((((CHANNELS!$C$4/E$5)+CHANNELS!$C$5+CHANNELS!$C$6+CHANNELS!$C$7)*ASSUMPTIONS!$C$4*ASSUMPTIONS!$C$5*ASSUMPTIONS!$C$6),CAPACITY_24M!B6)*(1-$A8)*ASSUMPTIONS!$C$8*CASE_TYPES!$B$12))/(MIN((((CHANNELS!$C$4/E$5)+CHANNELS!$C$5+CHANNELS!$C$6+CHANNELS!$C$7)*ASSUMPTIONS!$C$4*ASSUMPTIONS!$C$5*ASSUMPTIONS!$C$6),CAPACITY_24M!B6)*($A8+(1-$A8)*ASSUMPTIONS!$C$8)),0))-(((MIN((((CHANNELS!$C$4/E$5)+CHANNELS!$C$5+CHANNELS!$C$6+CHANNELS!$C$7)*ASSUMPTIONS!$C$4*ASSUMPTIONS!$C$5*ASSUMPTIONS!$C$6),CAPACITY_24M!B6)*($A8+(1-$A8)*ASSUMPTIONS!$C$8))*ASSUMPTIONS!$C$16)+(MIN(((MIN((((CHANNELS!$C$4/E$5)+CHANNELS!$C$5+CHANNELS!$C$6+CHANNELS!$C$7)*ASSUMPTIONS!$C$4*ASSUMPTIONS!$C$5*ASSUMPTIONS!$C$6),CAPACITY_24M!B6)*($A8+(1-$A8)*ASSUMPTIONS!$C$8))*(1-ASSUMPTIONS!$C$9)),CAPACITY_24M!B12)*(CASE_TYPES!$B$14*ASSUMPTIONS!$C$30+CASE_TYPES!$B$15+CASE_TYPES!$B$16))+((MIN(((MIN((((CHANNELS!$C$4/E$5)+CHANNELS!$C$5+CHANNELS!$C$6+CHANNELS!$C$7)*ASSUMPTIONS!$C$4*ASSUMPTIONS!$C$5*ASSUMPTIONS!$C$6),CAPACITY_24M!B6)*($A8+(1-$A8)*ASSUMPTIONS!$C$8))*(1-ASSUMPTIONS!$C$9)),CAPACITY_24M!B12)*IFERROR(((MIN((((CHANNELS!$C$4/E$5)+CHANNELS!$C$5+CHANNELS!$C$6+CHANNELS!$C$7)*ASSUMPTIONS!$C$4*ASSUMPTIONS!$C$5*ASSUMPTIONS!$C$6),CAPACITY_24M!B6)*$A8*CASE_TYPES!$B$11)+(MIN((((CHANNELS!$C$4/E$5)+CHANNELS!$C$5+CHANNELS!$C$6+CHANNELS!$C$7)*ASSUMPTIONS!$C$4*ASSUMPTIONS!$C$5*ASSUMPTIONS!$C$6),CAPACITY_24M!B6)*(1-$A8)*ASSUMPTIONS!$C$8*CASE_TYPES!$B$12))/(MIN((((CHANNELS!$C$4/E$5)+CHANNELS!$C$5+CHANNELS!$C$6+CHANNELS!$C$7)*ASSUMPTIONS!$C$4*ASSUMPTIONS!$C$5*ASSUMPTIONS!$C$6),CAPACITY_24M!B6)*($A8+(1-$A8)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1425.19303995847</v>
      </c>
      <c r="F8" s="12" t="n">
        <f aca="false">(MIN(((MIN((((CHANNELS!$C$4/F$5)+CHANNELS!$C$5+CHANNELS!$C$6+CHANNELS!$C$7)*ASSUMPTIONS!$C$4*ASSUMPTIONS!$C$5*ASSUMPTIONS!$C$6),CAPACITY_24M!B6)*($A8+(1-$A8)*ASSUMPTIONS!$C$8))*(1-ASSUMPTIONS!$C$9)),CAPACITY_24M!B12)*IFERROR(((MIN((((CHANNELS!$C$4/F$5)+CHANNELS!$C$5+CHANNELS!$C$6+CHANNELS!$C$7)*ASSUMPTIONS!$C$4*ASSUMPTIONS!$C$5*ASSUMPTIONS!$C$6),CAPACITY_24M!B6)*$A8*CASE_TYPES!$B$11)+(MIN((((CHANNELS!$C$4/F$5)+CHANNELS!$C$5+CHANNELS!$C$6+CHANNELS!$C$7)*ASSUMPTIONS!$C$4*ASSUMPTIONS!$C$5*ASSUMPTIONS!$C$6),CAPACITY_24M!B6)*(1-$A8)*ASSUMPTIONS!$C$8*CASE_TYPES!$B$12))/(MIN((((CHANNELS!$C$4/F$5)+CHANNELS!$C$5+CHANNELS!$C$6+CHANNELS!$C$7)*ASSUMPTIONS!$C$4*ASSUMPTIONS!$C$5*ASSUMPTIONS!$C$6),CAPACITY_24M!B6)*($A8+(1-$A8)*ASSUMPTIONS!$C$8)),0))-(((MIN((((CHANNELS!$C$4/F$5)+CHANNELS!$C$5+CHANNELS!$C$6+CHANNELS!$C$7)*ASSUMPTIONS!$C$4*ASSUMPTIONS!$C$5*ASSUMPTIONS!$C$6),CAPACITY_24M!B6)*($A8+(1-$A8)*ASSUMPTIONS!$C$8))*ASSUMPTIONS!$C$16)+(MIN(((MIN((((CHANNELS!$C$4/F$5)+CHANNELS!$C$5+CHANNELS!$C$6+CHANNELS!$C$7)*ASSUMPTIONS!$C$4*ASSUMPTIONS!$C$5*ASSUMPTIONS!$C$6),CAPACITY_24M!B6)*($A8+(1-$A8)*ASSUMPTIONS!$C$8))*(1-ASSUMPTIONS!$C$9)),CAPACITY_24M!B12)*(CASE_TYPES!$B$14*ASSUMPTIONS!$C$30+CASE_TYPES!$B$15+CASE_TYPES!$B$16))+((MIN(((MIN((((CHANNELS!$C$4/F$5)+CHANNELS!$C$5+CHANNELS!$C$6+CHANNELS!$C$7)*ASSUMPTIONS!$C$4*ASSUMPTIONS!$C$5*ASSUMPTIONS!$C$6),CAPACITY_24M!B6)*($A8+(1-$A8)*ASSUMPTIONS!$C$8))*(1-ASSUMPTIONS!$C$9)),CAPACITY_24M!B12)*IFERROR(((MIN((((CHANNELS!$C$4/F$5)+CHANNELS!$C$5+CHANNELS!$C$6+CHANNELS!$C$7)*ASSUMPTIONS!$C$4*ASSUMPTIONS!$C$5*ASSUMPTIONS!$C$6),CAPACITY_24M!B6)*$A8*CASE_TYPES!$B$11)+(MIN((((CHANNELS!$C$4/F$5)+CHANNELS!$C$5+CHANNELS!$C$6+CHANNELS!$C$7)*ASSUMPTIONS!$C$4*ASSUMPTIONS!$C$5*ASSUMPTIONS!$C$6),CAPACITY_24M!B6)*(1-$A8)*ASSUMPTIONS!$C$8*CASE_TYPES!$B$12))/(MIN((((CHANNELS!$C$4/F$5)+CHANNELS!$C$5+CHANNELS!$C$6+CHANNELS!$C$7)*ASSUMPTIONS!$C$4*ASSUMPTIONS!$C$5*ASSUMPTIONS!$C$6),CAPACITY_24M!B6)*($A8+(1-$A8)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1783.72393995847</v>
      </c>
      <c r="G8" s="12" t="n">
        <f aca="false">(MIN(((MIN((((CHANNELS!$C$4/G$5)+CHANNELS!$C$5+CHANNELS!$C$6+CHANNELS!$C$7)*ASSUMPTIONS!$C$4*ASSUMPTIONS!$C$5*ASSUMPTIONS!$C$6),CAPACITY_24M!B6)*($A8+(1-$A8)*ASSUMPTIONS!$C$8))*(1-ASSUMPTIONS!$C$9)),CAPACITY_24M!B12)*IFERROR(((MIN((((CHANNELS!$C$4/G$5)+CHANNELS!$C$5+CHANNELS!$C$6+CHANNELS!$C$7)*ASSUMPTIONS!$C$4*ASSUMPTIONS!$C$5*ASSUMPTIONS!$C$6),CAPACITY_24M!B6)*$A8*CASE_TYPES!$B$11)+(MIN((((CHANNELS!$C$4/G$5)+CHANNELS!$C$5+CHANNELS!$C$6+CHANNELS!$C$7)*ASSUMPTIONS!$C$4*ASSUMPTIONS!$C$5*ASSUMPTIONS!$C$6),CAPACITY_24M!B6)*(1-$A8)*ASSUMPTIONS!$C$8*CASE_TYPES!$B$12))/(MIN((((CHANNELS!$C$4/G$5)+CHANNELS!$C$5+CHANNELS!$C$6+CHANNELS!$C$7)*ASSUMPTIONS!$C$4*ASSUMPTIONS!$C$5*ASSUMPTIONS!$C$6),CAPACITY_24M!B6)*($A8+(1-$A8)*ASSUMPTIONS!$C$8)),0))-(((MIN((((CHANNELS!$C$4/G$5)+CHANNELS!$C$5+CHANNELS!$C$6+CHANNELS!$C$7)*ASSUMPTIONS!$C$4*ASSUMPTIONS!$C$5*ASSUMPTIONS!$C$6),CAPACITY_24M!B6)*($A8+(1-$A8)*ASSUMPTIONS!$C$8))*ASSUMPTIONS!$C$16)+(MIN(((MIN((((CHANNELS!$C$4/G$5)+CHANNELS!$C$5+CHANNELS!$C$6+CHANNELS!$C$7)*ASSUMPTIONS!$C$4*ASSUMPTIONS!$C$5*ASSUMPTIONS!$C$6),CAPACITY_24M!B6)*($A8+(1-$A8)*ASSUMPTIONS!$C$8))*(1-ASSUMPTIONS!$C$9)),CAPACITY_24M!B12)*(CASE_TYPES!$B$14*ASSUMPTIONS!$C$30+CASE_TYPES!$B$15+CASE_TYPES!$B$16))+((MIN(((MIN((((CHANNELS!$C$4/G$5)+CHANNELS!$C$5+CHANNELS!$C$6+CHANNELS!$C$7)*ASSUMPTIONS!$C$4*ASSUMPTIONS!$C$5*ASSUMPTIONS!$C$6),CAPACITY_24M!B6)*($A8+(1-$A8)*ASSUMPTIONS!$C$8))*(1-ASSUMPTIONS!$C$9)),CAPACITY_24M!B12)*IFERROR(((MIN((((CHANNELS!$C$4/G$5)+CHANNELS!$C$5+CHANNELS!$C$6+CHANNELS!$C$7)*ASSUMPTIONS!$C$4*ASSUMPTIONS!$C$5*ASSUMPTIONS!$C$6),CAPACITY_24M!B6)*$A8*CASE_TYPES!$B$11)+(MIN((((CHANNELS!$C$4/G$5)+CHANNELS!$C$5+CHANNELS!$C$6+CHANNELS!$C$7)*ASSUMPTIONS!$C$4*ASSUMPTIONS!$C$5*ASSUMPTIONS!$C$6),CAPACITY_24M!B6)*(1-$A8)*ASSUMPTIONS!$C$8*CASE_TYPES!$B$12))/(MIN((((CHANNELS!$C$4/G$5)+CHANNELS!$C$5+CHANNELS!$C$6+CHANNELS!$C$7)*ASSUMPTIONS!$C$4*ASSUMPTIONS!$C$5*ASSUMPTIONS!$C$6),CAPACITY_24M!B6)*($A8+(1-$A8)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2070.54865995847</v>
      </c>
      <c r="H8" s="12" t="n">
        <f aca="false">(MIN(((MIN((((CHANNELS!$C$4/H$5)+CHANNELS!$C$5+CHANNELS!$C$6+CHANNELS!$C$7)*ASSUMPTIONS!$C$4*ASSUMPTIONS!$C$5*ASSUMPTIONS!$C$6),CAPACITY_24M!B6)*($A8+(1-$A8)*ASSUMPTIONS!$C$8))*(1-ASSUMPTIONS!$C$9)),CAPACITY_24M!B12)*IFERROR(((MIN((((CHANNELS!$C$4/H$5)+CHANNELS!$C$5+CHANNELS!$C$6+CHANNELS!$C$7)*ASSUMPTIONS!$C$4*ASSUMPTIONS!$C$5*ASSUMPTIONS!$C$6),CAPACITY_24M!B6)*$A8*CASE_TYPES!$B$11)+(MIN((((CHANNELS!$C$4/H$5)+CHANNELS!$C$5+CHANNELS!$C$6+CHANNELS!$C$7)*ASSUMPTIONS!$C$4*ASSUMPTIONS!$C$5*ASSUMPTIONS!$C$6),CAPACITY_24M!B6)*(1-$A8)*ASSUMPTIONS!$C$8*CASE_TYPES!$B$12))/(MIN((((CHANNELS!$C$4/H$5)+CHANNELS!$C$5+CHANNELS!$C$6+CHANNELS!$C$7)*ASSUMPTIONS!$C$4*ASSUMPTIONS!$C$5*ASSUMPTIONS!$C$6),CAPACITY_24M!B6)*($A8+(1-$A8)*ASSUMPTIONS!$C$8)),0))-(((MIN((((CHANNELS!$C$4/H$5)+CHANNELS!$C$5+CHANNELS!$C$6+CHANNELS!$C$7)*ASSUMPTIONS!$C$4*ASSUMPTIONS!$C$5*ASSUMPTIONS!$C$6),CAPACITY_24M!B6)*($A8+(1-$A8)*ASSUMPTIONS!$C$8))*ASSUMPTIONS!$C$16)+(MIN(((MIN((((CHANNELS!$C$4/H$5)+CHANNELS!$C$5+CHANNELS!$C$6+CHANNELS!$C$7)*ASSUMPTIONS!$C$4*ASSUMPTIONS!$C$5*ASSUMPTIONS!$C$6),CAPACITY_24M!B6)*($A8+(1-$A8)*ASSUMPTIONS!$C$8))*(1-ASSUMPTIONS!$C$9)),CAPACITY_24M!B12)*(CASE_TYPES!$B$14*ASSUMPTIONS!$C$30+CASE_TYPES!$B$15+CASE_TYPES!$B$16))+((MIN(((MIN((((CHANNELS!$C$4/H$5)+CHANNELS!$C$5+CHANNELS!$C$6+CHANNELS!$C$7)*ASSUMPTIONS!$C$4*ASSUMPTIONS!$C$5*ASSUMPTIONS!$C$6),CAPACITY_24M!B6)*($A8+(1-$A8)*ASSUMPTIONS!$C$8))*(1-ASSUMPTIONS!$C$9)),CAPACITY_24M!B12)*IFERROR(((MIN((((CHANNELS!$C$4/H$5)+CHANNELS!$C$5+CHANNELS!$C$6+CHANNELS!$C$7)*ASSUMPTIONS!$C$4*ASSUMPTIONS!$C$5*ASSUMPTIONS!$C$6),CAPACITY_24M!B6)*$A8*CASE_TYPES!$B$11)+(MIN((((CHANNELS!$C$4/H$5)+CHANNELS!$C$5+CHANNELS!$C$6+CHANNELS!$C$7)*ASSUMPTIONS!$C$4*ASSUMPTIONS!$C$5*ASSUMPTIONS!$C$6),CAPACITY_24M!B6)*(1-$A8)*ASSUMPTIONS!$C$8*CASE_TYPES!$B$12))/(MIN((((CHANNELS!$C$4/H$5)+CHANNELS!$C$5+CHANNELS!$C$6+CHANNELS!$C$7)*ASSUMPTIONS!$C$4*ASSUMPTIONS!$C$5*ASSUMPTIONS!$C$6),CAPACITY_24M!B6)*($A8+(1-$A8)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2500.78573995846</v>
      </c>
      <c r="I8" s="12" t="n">
        <f aca="false">(MIN(((MIN((((CHANNELS!$C$4/I$5)+CHANNELS!$C$5+CHANNELS!$C$6+CHANNELS!$C$7)*ASSUMPTIONS!$C$4*ASSUMPTIONS!$C$5*ASSUMPTIONS!$C$6),CAPACITY_24M!B6)*($A8+(1-$A8)*ASSUMPTIONS!$C$8))*(1-ASSUMPTIONS!$C$9)),CAPACITY_24M!B12)*IFERROR(((MIN((((CHANNELS!$C$4/I$5)+CHANNELS!$C$5+CHANNELS!$C$6+CHANNELS!$C$7)*ASSUMPTIONS!$C$4*ASSUMPTIONS!$C$5*ASSUMPTIONS!$C$6),CAPACITY_24M!B6)*$A8*CASE_TYPES!$B$11)+(MIN((((CHANNELS!$C$4/I$5)+CHANNELS!$C$5+CHANNELS!$C$6+CHANNELS!$C$7)*ASSUMPTIONS!$C$4*ASSUMPTIONS!$C$5*ASSUMPTIONS!$C$6),CAPACITY_24M!B6)*(1-$A8)*ASSUMPTIONS!$C$8*CASE_TYPES!$B$12))/(MIN((((CHANNELS!$C$4/I$5)+CHANNELS!$C$5+CHANNELS!$C$6+CHANNELS!$C$7)*ASSUMPTIONS!$C$4*ASSUMPTIONS!$C$5*ASSUMPTIONS!$C$6),CAPACITY_24M!B6)*($A8+(1-$A8)*ASSUMPTIONS!$C$8)),0))-(((MIN((((CHANNELS!$C$4/I$5)+CHANNELS!$C$5+CHANNELS!$C$6+CHANNELS!$C$7)*ASSUMPTIONS!$C$4*ASSUMPTIONS!$C$5*ASSUMPTIONS!$C$6),CAPACITY_24M!B6)*($A8+(1-$A8)*ASSUMPTIONS!$C$8))*ASSUMPTIONS!$C$16)+(MIN(((MIN((((CHANNELS!$C$4/I$5)+CHANNELS!$C$5+CHANNELS!$C$6+CHANNELS!$C$7)*ASSUMPTIONS!$C$4*ASSUMPTIONS!$C$5*ASSUMPTIONS!$C$6),CAPACITY_24M!B6)*($A8+(1-$A8)*ASSUMPTIONS!$C$8))*(1-ASSUMPTIONS!$C$9)),CAPACITY_24M!B12)*(CASE_TYPES!$B$14*ASSUMPTIONS!$C$30+CASE_TYPES!$B$15+CASE_TYPES!$B$16))+((MIN(((MIN((((CHANNELS!$C$4/I$5)+CHANNELS!$C$5+CHANNELS!$C$6+CHANNELS!$C$7)*ASSUMPTIONS!$C$4*ASSUMPTIONS!$C$5*ASSUMPTIONS!$C$6),CAPACITY_24M!B6)*($A8+(1-$A8)*ASSUMPTIONS!$C$8))*(1-ASSUMPTIONS!$C$9)),CAPACITY_24M!B12)*IFERROR(((MIN((((CHANNELS!$C$4/I$5)+CHANNELS!$C$5+CHANNELS!$C$6+CHANNELS!$C$7)*ASSUMPTIONS!$C$4*ASSUMPTIONS!$C$5*ASSUMPTIONS!$C$6),CAPACITY_24M!B6)*$A8*CASE_TYPES!$B$11)+(MIN((((CHANNELS!$C$4/I$5)+CHANNELS!$C$5+CHANNELS!$C$6+CHANNELS!$C$7)*ASSUMPTIONS!$C$4*ASSUMPTIONS!$C$5*ASSUMPTIONS!$C$6),CAPACITY_24M!B6)*(1-$A8)*ASSUMPTIONS!$C$8*CASE_TYPES!$B$12))/(MIN((((CHANNELS!$C$4/I$5)+CHANNELS!$C$5+CHANNELS!$C$6+CHANNELS!$C$7)*ASSUMPTIONS!$C$4*ASSUMPTIONS!$C$5*ASSUMPTIONS!$C$6),CAPACITY_24M!B6)*($A8+(1-$A8)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2808.09793995847</v>
      </c>
    </row>
    <row r="9" customFormat="false" ht="15" hidden="false" customHeight="true" outlineLevel="0" collapsed="false">
      <c r="A9" s="23" t="n">
        <v>0.55</v>
      </c>
      <c r="B9" s="12" t="n">
        <f aca="false">(MIN(((MIN((((CHANNELS!$C$4/B$5)+CHANNELS!$C$5+CHANNELS!$C$6+CHANNELS!$C$7)*ASSUMPTIONS!$C$4*ASSUMPTIONS!$C$5*ASSUMPTIONS!$C$6),CAPACITY_24M!B6)*($A9+(1-$A9)*ASSUMPTIONS!$C$8))*(1-ASSUMPTIONS!$C$9)),CAPACITY_24M!B12)*IFERROR(((MIN((((CHANNELS!$C$4/B$5)+CHANNELS!$C$5+CHANNELS!$C$6+CHANNELS!$C$7)*ASSUMPTIONS!$C$4*ASSUMPTIONS!$C$5*ASSUMPTIONS!$C$6),CAPACITY_24M!B6)*$A9*CASE_TYPES!$B$11)+(MIN((((CHANNELS!$C$4/B$5)+CHANNELS!$C$5+CHANNELS!$C$6+CHANNELS!$C$7)*ASSUMPTIONS!$C$4*ASSUMPTIONS!$C$5*ASSUMPTIONS!$C$6),CAPACITY_24M!B6)*(1-$A9)*ASSUMPTIONS!$C$8*CASE_TYPES!$B$12))/(MIN((((CHANNELS!$C$4/B$5)+CHANNELS!$C$5+CHANNELS!$C$6+CHANNELS!$C$7)*ASSUMPTIONS!$C$4*ASSUMPTIONS!$C$5*ASSUMPTIONS!$C$6),CAPACITY_24M!B6)*($A9+(1-$A9)*ASSUMPTIONS!$C$8)),0))-(((MIN((((CHANNELS!$C$4/B$5)+CHANNELS!$C$5+CHANNELS!$C$6+CHANNELS!$C$7)*ASSUMPTIONS!$C$4*ASSUMPTIONS!$C$5*ASSUMPTIONS!$C$6),CAPACITY_24M!B6)*($A9+(1-$A9)*ASSUMPTIONS!$C$8))*ASSUMPTIONS!$C$16)+(MIN(((MIN((((CHANNELS!$C$4/B$5)+CHANNELS!$C$5+CHANNELS!$C$6+CHANNELS!$C$7)*ASSUMPTIONS!$C$4*ASSUMPTIONS!$C$5*ASSUMPTIONS!$C$6),CAPACITY_24M!B6)*($A9+(1-$A9)*ASSUMPTIONS!$C$8))*(1-ASSUMPTIONS!$C$9)),CAPACITY_24M!B12)*(CASE_TYPES!$B$14*ASSUMPTIONS!$C$30+CASE_TYPES!$B$15+CASE_TYPES!$B$16))+((MIN(((MIN((((CHANNELS!$C$4/B$5)+CHANNELS!$C$5+CHANNELS!$C$6+CHANNELS!$C$7)*ASSUMPTIONS!$C$4*ASSUMPTIONS!$C$5*ASSUMPTIONS!$C$6),CAPACITY_24M!B6)*($A9+(1-$A9)*ASSUMPTIONS!$C$8))*(1-ASSUMPTIONS!$C$9)),CAPACITY_24M!B12)*IFERROR(((MIN((((CHANNELS!$C$4/B$5)+CHANNELS!$C$5+CHANNELS!$C$6+CHANNELS!$C$7)*ASSUMPTIONS!$C$4*ASSUMPTIONS!$C$5*ASSUMPTIONS!$C$6),CAPACITY_24M!B6)*$A9*CASE_TYPES!$B$11)+(MIN((((CHANNELS!$C$4/B$5)+CHANNELS!$C$5+CHANNELS!$C$6+CHANNELS!$C$7)*ASSUMPTIONS!$C$4*ASSUMPTIONS!$C$5*ASSUMPTIONS!$C$6),CAPACITY_24M!B6)*(1-$A9)*ASSUMPTIONS!$C$8*CASE_TYPES!$B$12))/(MIN((((CHANNELS!$C$4/B$5)+CHANNELS!$C$5+CHANNELS!$C$6+CHANNELS!$C$7)*ASSUMPTIONS!$C$4*ASSUMPTIONS!$C$5*ASSUMPTIONS!$C$6),CAPACITY_24M!B6)*($A9+(1-$A9)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625.379513243479</v>
      </c>
      <c r="C9" s="12" t="n">
        <f aca="false">(MIN(((MIN((((CHANNELS!$C$4/C$5)+CHANNELS!$C$5+CHANNELS!$C$6+CHANNELS!$C$7)*ASSUMPTIONS!$C$4*ASSUMPTIONS!$C$5*ASSUMPTIONS!$C$6),CAPACITY_24M!B6)*($A9+(1-$A9)*ASSUMPTIONS!$C$8))*(1-ASSUMPTIONS!$C$9)),CAPACITY_24M!B12)*IFERROR(((MIN((((CHANNELS!$C$4/C$5)+CHANNELS!$C$5+CHANNELS!$C$6+CHANNELS!$C$7)*ASSUMPTIONS!$C$4*ASSUMPTIONS!$C$5*ASSUMPTIONS!$C$6),CAPACITY_24M!B6)*$A9*CASE_TYPES!$B$11)+(MIN((((CHANNELS!$C$4/C$5)+CHANNELS!$C$5+CHANNELS!$C$6+CHANNELS!$C$7)*ASSUMPTIONS!$C$4*ASSUMPTIONS!$C$5*ASSUMPTIONS!$C$6),CAPACITY_24M!B6)*(1-$A9)*ASSUMPTIONS!$C$8*CASE_TYPES!$B$12))/(MIN((((CHANNELS!$C$4/C$5)+CHANNELS!$C$5+CHANNELS!$C$6+CHANNELS!$C$7)*ASSUMPTIONS!$C$4*ASSUMPTIONS!$C$5*ASSUMPTIONS!$C$6),CAPACITY_24M!B6)*($A9+(1-$A9)*ASSUMPTIONS!$C$8)),0))-(((MIN((((CHANNELS!$C$4/C$5)+CHANNELS!$C$5+CHANNELS!$C$6+CHANNELS!$C$7)*ASSUMPTIONS!$C$4*ASSUMPTIONS!$C$5*ASSUMPTIONS!$C$6),CAPACITY_24M!B6)*($A9+(1-$A9)*ASSUMPTIONS!$C$8))*ASSUMPTIONS!$C$16)+(MIN(((MIN((((CHANNELS!$C$4/C$5)+CHANNELS!$C$5+CHANNELS!$C$6+CHANNELS!$C$7)*ASSUMPTIONS!$C$4*ASSUMPTIONS!$C$5*ASSUMPTIONS!$C$6),CAPACITY_24M!B6)*($A9+(1-$A9)*ASSUMPTIONS!$C$8))*(1-ASSUMPTIONS!$C$9)),CAPACITY_24M!B12)*(CASE_TYPES!$B$14*ASSUMPTIONS!$C$30+CASE_TYPES!$B$15+CASE_TYPES!$B$16))+((MIN(((MIN((((CHANNELS!$C$4/C$5)+CHANNELS!$C$5+CHANNELS!$C$6+CHANNELS!$C$7)*ASSUMPTIONS!$C$4*ASSUMPTIONS!$C$5*ASSUMPTIONS!$C$6),CAPACITY_24M!B6)*($A9+(1-$A9)*ASSUMPTIONS!$C$8))*(1-ASSUMPTIONS!$C$9)),CAPACITY_24M!B12)*IFERROR(((MIN((((CHANNELS!$C$4/C$5)+CHANNELS!$C$5+CHANNELS!$C$6+CHANNELS!$C$7)*ASSUMPTIONS!$C$4*ASSUMPTIONS!$C$5*ASSUMPTIONS!$C$6),CAPACITY_24M!B6)*$A9*CASE_TYPES!$B$11)+(MIN((((CHANNELS!$C$4/C$5)+CHANNELS!$C$5+CHANNELS!$C$6+CHANNELS!$C$7)*ASSUMPTIONS!$C$4*ASSUMPTIONS!$C$5*ASSUMPTIONS!$C$6),CAPACITY_24M!B6)*(1-$A9)*ASSUMPTIONS!$C$8*CASE_TYPES!$B$12))/(MIN((((CHANNELS!$C$4/C$5)+CHANNELS!$C$5+CHANNELS!$C$6+CHANNELS!$C$7)*ASSUMPTIONS!$C$4*ASSUMPTIONS!$C$5*ASSUMPTIONS!$C$6),CAPACITY_24M!B6)*($A9+(1-$A9)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625.379513243479</v>
      </c>
      <c r="D9" s="12" t="n">
        <f aca="false">(MIN(((MIN((((CHANNELS!$C$4/D$5)+CHANNELS!$C$5+CHANNELS!$C$6+CHANNELS!$C$7)*ASSUMPTIONS!$C$4*ASSUMPTIONS!$C$5*ASSUMPTIONS!$C$6),CAPACITY_24M!B6)*($A9+(1-$A9)*ASSUMPTIONS!$C$8))*(1-ASSUMPTIONS!$C$9)),CAPACITY_24M!B12)*IFERROR(((MIN((((CHANNELS!$C$4/D$5)+CHANNELS!$C$5+CHANNELS!$C$6+CHANNELS!$C$7)*ASSUMPTIONS!$C$4*ASSUMPTIONS!$C$5*ASSUMPTIONS!$C$6),CAPACITY_24M!B6)*$A9*CASE_TYPES!$B$11)+(MIN((((CHANNELS!$C$4/D$5)+CHANNELS!$C$5+CHANNELS!$C$6+CHANNELS!$C$7)*ASSUMPTIONS!$C$4*ASSUMPTIONS!$C$5*ASSUMPTIONS!$C$6),CAPACITY_24M!B6)*(1-$A9)*ASSUMPTIONS!$C$8*CASE_TYPES!$B$12))/(MIN((((CHANNELS!$C$4/D$5)+CHANNELS!$C$5+CHANNELS!$C$6+CHANNELS!$C$7)*ASSUMPTIONS!$C$4*ASSUMPTIONS!$C$5*ASSUMPTIONS!$C$6),CAPACITY_24M!B6)*($A9+(1-$A9)*ASSUMPTIONS!$C$8)),0))-(((MIN((((CHANNELS!$C$4/D$5)+CHANNELS!$C$5+CHANNELS!$C$6+CHANNELS!$C$7)*ASSUMPTIONS!$C$4*ASSUMPTIONS!$C$5*ASSUMPTIONS!$C$6),CAPACITY_24M!B6)*($A9+(1-$A9)*ASSUMPTIONS!$C$8))*ASSUMPTIONS!$C$16)+(MIN(((MIN((((CHANNELS!$C$4/D$5)+CHANNELS!$C$5+CHANNELS!$C$6+CHANNELS!$C$7)*ASSUMPTIONS!$C$4*ASSUMPTIONS!$C$5*ASSUMPTIONS!$C$6),CAPACITY_24M!B6)*($A9+(1-$A9)*ASSUMPTIONS!$C$8))*(1-ASSUMPTIONS!$C$9)),CAPACITY_24M!B12)*(CASE_TYPES!$B$14*ASSUMPTIONS!$C$30+CASE_TYPES!$B$15+CASE_TYPES!$B$16))+((MIN(((MIN((((CHANNELS!$C$4/D$5)+CHANNELS!$C$5+CHANNELS!$C$6+CHANNELS!$C$7)*ASSUMPTIONS!$C$4*ASSUMPTIONS!$C$5*ASSUMPTIONS!$C$6),CAPACITY_24M!B6)*($A9+(1-$A9)*ASSUMPTIONS!$C$8))*(1-ASSUMPTIONS!$C$9)),CAPACITY_24M!B12)*IFERROR(((MIN((((CHANNELS!$C$4/D$5)+CHANNELS!$C$5+CHANNELS!$C$6+CHANNELS!$C$7)*ASSUMPTIONS!$C$4*ASSUMPTIONS!$C$5*ASSUMPTIONS!$C$6),CAPACITY_24M!B6)*$A9*CASE_TYPES!$B$11)+(MIN((((CHANNELS!$C$4/D$5)+CHANNELS!$C$5+CHANNELS!$C$6+CHANNELS!$C$7)*ASSUMPTIONS!$C$4*ASSUMPTIONS!$C$5*ASSUMPTIONS!$C$6),CAPACITY_24M!B6)*(1-$A9)*ASSUMPTIONS!$C$8*CASE_TYPES!$B$12))/(MIN((((CHANNELS!$C$4/D$5)+CHANNELS!$C$5+CHANNELS!$C$6+CHANNELS!$C$7)*ASSUMPTIONS!$C$4*ASSUMPTIONS!$C$5*ASSUMPTIONS!$C$6),CAPACITY_24M!B6)*($A9+(1-$A9)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625.379513243479</v>
      </c>
      <c r="E9" s="12" t="n">
        <f aca="false">(MIN(((MIN((((CHANNELS!$C$4/E$5)+CHANNELS!$C$5+CHANNELS!$C$6+CHANNELS!$C$7)*ASSUMPTIONS!$C$4*ASSUMPTIONS!$C$5*ASSUMPTIONS!$C$6),CAPACITY_24M!B6)*($A9+(1-$A9)*ASSUMPTIONS!$C$8))*(1-ASSUMPTIONS!$C$9)),CAPACITY_24M!B12)*IFERROR(((MIN((((CHANNELS!$C$4/E$5)+CHANNELS!$C$5+CHANNELS!$C$6+CHANNELS!$C$7)*ASSUMPTIONS!$C$4*ASSUMPTIONS!$C$5*ASSUMPTIONS!$C$6),CAPACITY_24M!B6)*$A9*CASE_TYPES!$B$11)+(MIN((((CHANNELS!$C$4/E$5)+CHANNELS!$C$5+CHANNELS!$C$6+CHANNELS!$C$7)*ASSUMPTIONS!$C$4*ASSUMPTIONS!$C$5*ASSUMPTIONS!$C$6),CAPACITY_24M!B6)*(1-$A9)*ASSUMPTIONS!$C$8*CASE_TYPES!$B$12))/(MIN((((CHANNELS!$C$4/E$5)+CHANNELS!$C$5+CHANNELS!$C$6+CHANNELS!$C$7)*ASSUMPTIONS!$C$4*ASSUMPTIONS!$C$5*ASSUMPTIONS!$C$6),CAPACITY_24M!B6)*($A9+(1-$A9)*ASSUMPTIONS!$C$8)),0))-(((MIN((((CHANNELS!$C$4/E$5)+CHANNELS!$C$5+CHANNELS!$C$6+CHANNELS!$C$7)*ASSUMPTIONS!$C$4*ASSUMPTIONS!$C$5*ASSUMPTIONS!$C$6),CAPACITY_24M!B6)*($A9+(1-$A9)*ASSUMPTIONS!$C$8))*ASSUMPTIONS!$C$16)+(MIN(((MIN((((CHANNELS!$C$4/E$5)+CHANNELS!$C$5+CHANNELS!$C$6+CHANNELS!$C$7)*ASSUMPTIONS!$C$4*ASSUMPTIONS!$C$5*ASSUMPTIONS!$C$6),CAPACITY_24M!B6)*($A9+(1-$A9)*ASSUMPTIONS!$C$8))*(1-ASSUMPTIONS!$C$9)),CAPACITY_24M!B12)*(CASE_TYPES!$B$14*ASSUMPTIONS!$C$30+CASE_TYPES!$B$15+CASE_TYPES!$B$16))+((MIN(((MIN((((CHANNELS!$C$4/E$5)+CHANNELS!$C$5+CHANNELS!$C$6+CHANNELS!$C$7)*ASSUMPTIONS!$C$4*ASSUMPTIONS!$C$5*ASSUMPTIONS!$C$6),CAPACITY_24M!B6)*($A9+(1-$A9)*ASSUMPTIONS!$C$8))*(1-ASSUMPTIONS!$C$9)),CAPACITY_24M!B12)*IFERROR(((MIN((((CHANNELS!$C$4/E$5)+CHANNELS!$C$5+CHANNELS!$C$6+CHANNELS!$C$7)*ASSUMPTIONS!$C$4*ASSUMPTIONS!$C$5*ASSUMPTIONS!$C$6),CAPACITY_24M!B6)*$A9*CASE_TYPES!$B$11)+(MIN((((CHANNELS!$C$4/E$5)+CHANNELS!$C$5+CHANNELS!$C$6+CHANNELS!$C$7)*ASSUMPTIONS!$C$4*ASSUMPTIONS!$C$5*ASSUMPTIONS!$C$6),CAPACITY_24M!B6)*(1-$A9)*ASSUMPTIONS!$C$8*CASE_TYPES!$B$12))/(MIN((((CHANNELS!$C$4/E$5)+CHANNELS!$C$5+CHANNELS!$C$6+CHANNELS!$C$7)*ASSUMPTIONS!$C$4*ASSUMPTIONS!$C$5*ASSUMPTIONS!$C$6),CAPACITY_24M!B6)*($A9+(1-$A9)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1005.4869637091</v>
      </c>
      <c r="F9" s="12" t="n">
        <f aca="false">(MIN(((MIN((((CHANNELS!$C$4/F$5)+CHANNELS!$C$5+CHANNELS!$C$6+CHANNELS!$C$7)*ASSUMPTIONS!$C$4*ASSUMPTIONS!$C$5*ASSUMPTIONS!$C$6),CAPACITY_24M!B6)*($A9+(1-$A9)*ASSUMPTIONS!$C$8))*(1-ASSUMPTIONS!$C$9)),CAPACITY_24M!B12)*IFERROR(((MIN((((CHANNELS!$C$4/F$5)+CHANNELS!$C$5+CHANNELS!$C$6+CHANNELS!$C$7)*ASSUMPTIONS!$C$4*ASSUMPTIONS!$C$5*ASSUMPTIONS!$C$6),CAPACITY_24M!B6)*$A9*CASE_TYPES!$B$11)+(MIN((((CHANNELS!$C$4/F$5)+CHANNELS!$C$5+CHANNELS!$C$6+CHANNELS!$C$7)*ASSUMPTIONS!$C$4*ASSUMPTIONS!$C$5*ASSUMPTIONS!$C$6),CAPACITY_24M!B6)*(1-$A9)*ASSUMPTIONS!$C$8*CASE_TYPES!$B$12))/(MIN((((CHANNELS!$C$4/F$5)+CHANNELS!$C$5+CHANNELS!$C$6+CHANNELS!$C$7)*ASSUMPTIONS!$C$4*ASSUMPTIONS!$C$5*ASSUMPTIONS!$C$6),CAPACITY_24M!B6)*($A9+(1-$A9)*ASSUMPTIONS!$C$8)),0))-(((MIN((((CHANNELS!$C$4/F$5)+CHANNELS!$C$5+CHANNELS!$C$6+CHANNELS!$C$7)*ASSUMPTIONS!$C$4*ASSUMPTIONS!$C$5*ASSUMPTIONS!$C$6),CAPACITY_24M!B6)*($A9+(1-$A9)*ASSUMPTIONS!$C$8))*ASSUMPTIONS!$C$16)+(MIN(((MIN((((CHANNELS!$C$4/F$5)+CHANNELS!$C$5+CHANNELS!$C$6+CHANNELS!$C$7)*ASSUMPTIONS!$C$4*ASSUMPTIONS!$C$5*ASSUMPTIONS!$C$6),CAPACITY_24M!B6)*($A9+(1-$A9)*ASSUMPTIONS!$C$8))*(1-ASSUMPTIONS!$C$9)),CAPACITY_24M!B12)*(CASE_TYPES!$B$14*ASSUMPTIONS!$C$30+CASE_TYPES!$B$15+CASE_TYPES!$B$16))+((MIN(((MIN((((CHANNELS!$C$4/F$5)+CHANNELS!$C$5+CHANNELS!$C$6+CHANNELS!$C$7)*ASSUMPTIONS!$C$4*ASSUMPTIONS!$C$5*ASSUMPTIONS!$C$6),CAPACITY_24M!B6)*($A9+(1-$A9)*ASSUMPTIONS!$C$8))*(1-ASSUMPTIONS!$C$9)),CAPACITY_24M!B12)*IFERROR(((MIN((((CHANNELS!$C$4/F$5)+CHANNELS!$C$5+CHANNELS!$C$6+CHANNELS!$C$7)*ASSUMPTIONS!$C$4*ASSUMPTIONS!$C$5*ASSUMPTIONS!$C$6),CAPACITY_24M!B6)*$A9*CASE_TYPES!$B$11)+(MIN((((CHANNELS!$C$4/F$5)+CHANNELS!$C$5+CHANNELS!$C$6+CHANNELS!$C$7)*ASSUMPTIONS!$C$4*ASSUMPTIONS!$C$5*ASSUMPTIONS!$C$6),CAPACITY_24M!B6)*(1-$A9)*ASSUMPTIONS!$C$8*CASE_TYPES!$B$12))/(MIN((((CHANNELS!$C$4/F$5)+CHANNELS!$C$5+CHANNELS!$C$6+CHANNELS!$C$7)*ASSUMPTIONS!$C$4*ASSUMPTIONS!$C$5*ASSUMPTIONS!$C$6),CAPACITY_24M!B6)*($A9+(1-$A9)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1412.9940637091</v>
      </c>
      <c r="G9" s="12" t="n">
        <f aca="false">(MIN(((MIN((((CHANNELS!$C$4/G$5)+CHANNELS!$C$5+CHANNELS!$C$6+CHANNELS!$C$7)*ASSUMPTIONS!$C$4*ASSUMPTIONS!$C$5*ASSUMPTIONS!$C$6),CAPACITY_24M!B6)*($A9+(1-$A9)*ASSUMPTIONS!$C$8))*(1-ASSUMPTIONS!$C$9)),CAPACITY_24M!B12)*IFERROR(((MIN((((CHANNELS!$C$4/G$5)+CHANNELS!$C$5+CHANNELS!$C$6+CHANNELS!$C$7)*ASSUMPTIONS!$C$4*ASSUMPTIONS!$C$5*ASSUMPTIONS!$C$6),CAPACITY_24M!B6)*$A9*CASE_TYPES!$B$11)+(MIN((((CHANNELS!$C$4/G$5)+CHANNELS!$C$5+CHANNELS!$C$6+CHANNELS!$C$7)*ASSUMPTIONS!$C$4*ASSUMPTIONS!$C$5*ASSUMPTIONS!$C$6),CAPACITY_24M!B6)*(1-$A9)*ASSUMPTIONS!$C$8*CASE_TYPES!$B$12))/(MIN((((CHANNELS!$C$4/G$5)+CHANNELS!$C$5+CHANNELS!$C$6+CHANNELS!$C$7)*ASSUMPTIONS!$C$4*ASSUMPTIONS!$C$5*ASSUMPTIONS!$C$6),CAPACITY_24M!B6)*($A9+(1-$A9)*ASSUMPTIONS!$C$8)),0))-(((MIN((((CHANNELS!$C$4/G$5)+CHANNELS!$C$5+CHANNELS!$C$6+CHANNELS!$C$7)*ASSUMPTIONS!$C$4*ASSUMPTIONS!$C$5*ASSUMPTIONS!$C$6),CAPACITY_24M!B6)*($A9+(1-$A9)*ASSUMPTIONS!$C$8))*ASSUMPTIONS!$C$16)+(MIN(((MIN((((CHANNELS!$C$4/G$5)+CHANNELS!$C$5+CHANNELS!$C$6+CHANNELS!$C$7)*ASSUMPTIONS!$C$4*ASSUMPTIONS!$C$5*ASSUMPTIONS!$C$6),CAPACITY_24M!B6)*($A9+(1-$A9)*ASSUMPTIONS!$C$8))*(1-ASSUMPTIONS!$C$9)),CAPACITY_24M!B12)*(CASE_TYPES!$B$14*ASSUMPTIONS!$C$30+CASE_TYPES!$B$15+CASE_TYPES!$B$16))+((MIN(((MIN((((CHANNELS!$C$4/G$5)+CHANNELS!$C$5+CHANNELS!$C$6+CHANNELS!$C$7)*ASSUMPTIONS!$C$4*ASSUMPTIONS!$C$5*ASSUMPTIONS!$C$6),CAPACITY_24M!B6)*($A9+(1-$A9)*ASSUMPTIONS!$C$8))*(1-ASSUMPTIONS!$C$9)),CAPACITY_24M!B12)*IFERROR(((MIN((((CHANNELS!$C$4/G$5)+CHANNELS!$C$5+CHANNELS!$C$6+CHANNELS!$C$7)*ASSUMPTIONS!$C$4*ASSUMPTIONS!$C$5*ASSUMPTIONS!$C$6),CAPACITY_24M!B6)*$A9*CASE_TYPES!$B$11)+(MIN((((CHANNELS!$C$4/G$5)+CHANNELS!$C$5+CHANNELS!$C$6+CHANNELS!$C$7)*ASSUMPTIONS!$C$4*ASSUMPTIONS!$C$5*ASSUMPTIONS!$C$6),CAPACITY_24M!B6)*(1-$A9)*ASSUMPTIONS!$C$8*CASE_TYPES!$B$12))/(MIN((((CHANNELS!$C$4/G$5)+CHANNELS!$C$5+CHANNELS!$C$6+CHANNELS!$C$7)*ASSUMPTIONS!$C$4*ASSUMPTIONS!$C$5*ASSUMPTIONS!$C$6),CAPACITY_24M!B6)*($A9+(1-$A9)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1738.9997437091</v>
      </c>
      <c r="H9" s="12" t="n">
        <f aca="false">(MIN(((MIN((((CHANNELS!$C$4/H$5)+CHANNELS!$C$5+CHANNELS!$C$6+CHANNELS!$C$7)*ASSUMPTIONS!$C$4*ASSUMPTIONS!$C$5*ASSUMPTIONS!$C$6),CAPACITY_24M!B6)*($A9+(1-$A9)*ASSUMPTIONS!$C$8))*(1-ASSUMPTIONS!$C$9)),CAPACITY_24M!B12)*IFERROR(((MIN((((CHANNELS!$C$4/H$5)+CHANNELS!$C$5+CHANNELS!$C$6+CHANNELS!$C$7)*ASSUMPTIONS!$C$4*ASSUMPTIONS!$C$5*ASSUMPTIONS!$C$6),CAPACITY_24M!B6)*$A9*CASE_TYPES!$B$11)+(MIN((((CHANNELS!$C$4/H$5)+CHANNELS!$C$5+CHANNELS!$C$6+CHANNELS!$C$7)*ASSUMPTIONS!$C$4*ASSUMPTIONS!$C$5*ASSUMPTIONS!$C$6),CAPACITY_24M!B6)*(1-$A9)*ASSUMPTIONS!$C$8*CASE_TYPES!$B$12))/(MIN((((CHANNELS!$C$4/H$5)+CHANNELS!$C$5+CHANNELS!$C$6+CHANNELS!$C$7)*ASSUMPTIONS!$C$4*ASSUMPTIONS!$C$5*ASSUMPTIONS!$C$6),CAPACITY_24M!B6)*($A9+(1-$A9)*ASSUMPTIONS!$C$8)),0))-(((MIN((((CHANNELS!$C$4/H$5)+CHANNELS!$C$5+CHANNELS!$C$6+CHANNELS!$C$7)*ASSUMPTIONS!$C$4*ASSUMPTIONS!$C$5*ASSUMPTIONS!$C$6),CAPACITY_24M!B6)*($A9+(1-$A9)*ASSUMPTIONS!$C$8))*ASSUMPTIONS!$C$16)+(MIN(((MIN((((CHANNELS!$C$4/H$5)+CHANNELS!$C$5+CHANNELS!$C$6+CHANNELS!$C$7)*ASSUMPTIONS!$C$4*ASSUMPTIONS!$C$5*ASSUMPTIONS!$C$6),CAPACITY_24M!B6)*($A9+(1-$A9)*ASSUMPTIONS!$C$8))*(1-ASSUMPTIONS!$C$9)),CAPACITY_24M!B12)*(CASE_TYPES!$B$14*ASSUMPTIONS!$C$30+CASE_TYPES!$B$15+CASE_TYPES!$B$16))+((MIN(((MIN((((CHANNELS!$C$4/H$5)+CHANNELS!$C$5+CHANNELS!$C$6+CHANNELS!$C$7)*ASSUMPTIONS!$C$4*ASSUMPTIONS!$C$5*ASSUMPTIONS!$C$6),CAPACITY_24M!B6)*($A9+(1-$A9)*ASSUMPTIONS!$C$8))*(1-ASSUMPTIONS!$C$9)),CAPACITY_24M!B12)*IFERROR(((MIN((((CHANNELS!$C$4/H$5)+CHANNELS!$C$5+CHANNELS!$C$6+CHANNELS!$C$7)*ASSUMPTIONS!$C$4*ASSUMPTIONS!$C$5*ASSUMPTIONS!$C$6),CAPACITY_24M!B6)*$A9*CASE_TYPES!$B$11)+(MIN((((CHANNELS!$C$4/H$5)+CHANNELS!$C$5+CHANNELS!$C$6+CHANNELS!$C$7)*ASSUMPTIONS!$C$4*ASSUMPTIONS!$C$5*ASSUMPTIONS!$C$6),CAPACITY_24M!B6)*(1-$A9)*ASSUMPTIONS!$C$8*CASE_TYPES!$B$12))/(MIN((((CHANNELS!$C$4/H$5)+CHANNELS!$C$5+CHANNELS!$C$6+CHANNELS!$C$7)*ASSUMPTIONS!$C$4*ASSUMPTIONS!$C$5*ASSUMPTIONS!$C$6),CAPACITY_24M!B6)*($A9+(1-$A9)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2228.0082637091</v>
      </c>
      <c r="I9" s="12" t="n">
        <f aca="false">(MIN(((MIN((((CHANNELS!$C$4/I$5)+CHANNELS!$C$5+CHANNELS!$C$6+CHANNELS!$C$7)*ASSUMPTIONS!$C$4*ASSUMPTIONS!$C$5*ASSUMPTIONS!$C$6),CAPACITY_24M!B6)*($A9+(1-$A9)*ASSUMPTIONS!$C$8))*(1-ASSUMPTIONS!$C$9)),CAPACITY_24M!B12)*IFERROR(((MIN((((CHANNELS!$C$4/I$5)+CHANNELS!$C$5+CHANNELS!$C$6+CHANNELS!$C$7)*ASSUMPTIONS!$C$4*ASSUMPTIONS!$C$5*ASSUMPTIONS!$C$6),CAPACITY_24M!B6)*$A9*CASE_TYPES!$B$11)+(MIN((((CHANNELS!$C$4/I$5)+CHANNELS!$C$5+CHANNELS!$C$6+CHANNELS!$C$7)*ASSUMPTIONS!$C$4*ASSUMPTIONS!$C$5*ASSUMPTIONS!$C$6),CAPACITY_24M!B6)*(1-$A9)*ASSUMPTIONS!$C$8*CASE_TYPES!$B$12))/(MIN((((CHANNELS!$C$4/I$5)+CHANNELS!$C$5+CHANNELS!$C$6+CHANNELS!$C$7)*ASSUMPTIONS!$C$4*ASSUMPTIONS!$C$5*ASSUMPTIONS!$C$6),CAPACITY_24M!B6)*($A9+(1-$A9)*ASSUMPTIONS!$C$8)),0))-(((MIN((((CHANNELS!$C$4/I$5)+CHANNELS!$C$5+CHANNELS!$C$6+CHANNELS!$C$7)*ASSUMPTIONS!$C$4*ASSUMPTIONS!$C$5*ASSUMPTIONS!$C$6),CAPACITY_24M!B6)*($A9+(1-$A9)*ASSUMPTIONS!$C$8))*ASSUMPTIONS!$C$16)+(MIN(((MIN((((CHANNELS!$C$4/I$5)+CHANNELS!$C$5+CHANNELS!$C$6+CHANNELS!$C$7)*ASSUMPTIONS!$C$4*ASSUMPTIONS!$C$5*ASSUMPTIONS!$C$6),CAPACITY_24M!B6)*($A9+(1-$A9)*ASSUMPTIONS!$C$8))*(1-ASSUMPTIONS!$C$9)),CAPACITY_24M!B12)*(CASE_TYPES!$B$14*ASSUMPTIONS!$C$30+CASE_TYPES!$B$15+CASE_TYPES!$B$16))+((MIN(((MIN((((CHANNELS!$C$4/I$5)+CHANNELS!$C$5+CHANNELS!$C$6+CHANNELS!$C$7)*ASSUMPTIONS!$C$4*ASSUMPTIONS!$C$5*ASSUMPTIONS!$C$6),CAPACITY_24M!B6)*($A9+(1-$A9)*ASSUMPTIONS!$C$8))*(1-ASSUMPTIONS!$C$9)),CAPACITY_24M!B12)*IFERROR(((MIN((((CHANNELS!$C$4/I$5)+CHANNELS!$C$5+CHANNELS!$C$6+CHANNELS!$C$7)*ASSUMPTIONS!$C$4*ASSUMPTIONS!$C$5*ASSUMPTIONS!$C$6),CAPACITY_24M!B6)*$A9*CASE_TYPES!$B$11)+(MIN((((CHANNELS!$C$4/I$5)+CHANNELS!$C$5+CHANNELS!$C$6+CHANNELS!$C$7)*ASSUMPTIONS!$C$4*ASSUMPTIONS!$C$5*ASSUMPTIONS!$C$6),CAPACITY_24M!B6)*(1-$A9)*ASSUMPTIONS!$C$8*CASE_TYPES!$B$12))/(MIN((((CHANNELS!$C$4/I$5)+CHANNELS!$C$5+CHANNELS!$C$6+CHANNELS!$C$7)*ASSUMPTIONS!$C$4*ASSUMPTIONS!$C$5*ASSUMPTIONS!$C$6),CAPACITY_24M!B6)*($A9+(1-$A9)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2577.3000637091</v>
      </c>
    </row>
    <row r="10" customFormat="false" ht="15" hidden="false" customHeight="true" outlineLevel="0" collapsed="false">
      <c r="A10" s="23" t="n">
        <v>0.65</v>
      </c>
      <c r="B10" s="12" t="n">
        <f aca="false">(MIN(((MIN((((CHANNELS!$C$4/B$5)+CHANNELS!$C$5+CHANNELS!$C$6+CHANNELS!$C$7)*ASSUMPTIONS!$C$4*ASSUMPTIONS!$C$5*ASSUMPTIONS!$C$6),CAPACITY_24M!B6)*($A10+(1-$A10)*ASSUMPTIONS!$C$8))*(1-ASSUMPTIONS!$C$9)),CAPACITY_24M!B12)*IFERROR(((MIN((((CHANNELS!$C$4/B$5)+CHANNELS!$C$5+CHANNELS!$C$6+CHANNELS!$C$7)*ASSUMPTIONS!$C$4*ASSUMPTIONS!$C$5*ASSUMPTIONS!$C$6),CAPACITY_24M!B6)*$A10*CASE_TYPES!$B$11)+(MIN((((CHANNELS!$C$4/B$5)+CHANNELS!$C$5+CHANNELS!$C$6+CHANNELS!$C$7)*ASSUMPTIONS!$C$4*ASSUMPTIONS!$C$5*ASSUMPTIONS!$C$6),CAPACITY_24M!B6)*(1-$A10)*ASSUMPTIONS!$C$8*CASE_TYPES!$B$12))/(MIN((((CHANNELS!$C$4/B$5)+CHANNELS!$C$5+CHANNELS!$C$6+CHANNELS!$C$7)*ASSUMPTIONS!$C$4*ASSUMPTIONS!$C$5*ASSUMPTIONS!$C$6),CAPACITY_24M!B6)*($A10+(1-$A10)*ASSUMPTIONS!$C$8)),0))-(((MIN((((CHANNELS!$C$4/B$5)+CHANNELS!$C$5+CHANNELS!$C$6+CHANNELS!$C$7)*ASSUMPTIONS!$C$4*ASSUMPTIONS!$C$5*ASSUMPTIONS!$C$6),CAPACITY_24M!B6)*($A10+(1-$A10)*ASSUMPTIONS!$C$8))*ASSUMPTIONS!$C$16)+(MIN(((MIN((((CHANNELS!$C$4/B$5)+CHANNELS!$C$5+CHANNELS!$C$6+CHANNELS!$C$7)*ASSUMPTIONS!$C$4*ASSUMPTIONS!$C$5*ASSUMPTIONS!$C$6),CAPACITY_24M!B6)*($A10+(1-$A10)*ASSUMPTIONS!$C$8))*(1-ASSUMPTIONS!$C$9)),CAPACITY_24M!B12)*(CASE_TYPES!$B$14*ASSUMPTIONS!$C$30+CASE_TYPES!$B$15+CASE_TYPES!$B$16))+((MIN(((MIN((((CHANNELS!$C$4/B$5)+CHANNELS!$C$5+CHANNELS!$C$6+CHANNELS!$C$7)*ASSUMPTIONS!$C$4*ASSUMPTIONS!$C$5*ASSUMPTIONS!$C$6),CAPACITY_24M!B6)*($A10+(1-$A10)*ASSUMPTIONS!$C$8))*(1-ASSUMPTIONS!$C$9)),CAPACITY_24M!B12)*IFERROR(((MIN((((CHANNELS!$C$4/B$5)+CHANNELS!$C$5+CHANNELS!$C$6+CHANNELS!$C$7)*ASSUMPTIONS!$C$4*ASSUMPTIONS!$C$5*ASSUMPTIONS!$C$6),CAPACITY_24M!B6)*$A10*CASE_TYPES!$B$11)+(MIN((((CHANNELS!$C$4/B$5)+CHANNELS!$C$5+CHANNELS!$C$6+CHANNELS!$C$7)*ASSUMPTIONS!$C$4*ASSUMPTIONS!$C$5*ASSUMPTIONS!$C$6),CAPACITY_24M!B6)*(1-$A10)*ASSUMPTIONS!$C$8*CASE_TYPES!$B$12))/(MIN((((CHANNELS!$C$4/B$5)+CHANNELS!$C$5+CHANNELS!$C$6+CHANNELS!$C$7)*ASSUMPTIONS!$C$4*ASSUMPTIONS!$C$5*ASSUMPTIONS!$C$6),CAPACITY_24M!B6)*($A10+(1-$A10)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145.378001683417</v>
      </c>
      <c r="C10" s="12" t="n">
        <f aca="false">(MIN(((MIN((((CHANNELS!$C$4/C$5)+CHANNELS!$C$5+CHANNELS!$C$6+CHANNELS!$C$7)*ASSUMPTIONS!$C$4*ASSUMPTIONS!$C$5*ASSUMPTIONS!$C$6),CAPACITY_24M!B6)*($A10+(1-$A10)*ASSUMPTIONS!$C$8))*(1-ASSUMPTIONS!$C$9)),CAPACITY_24M!B12)*IFERROR(((MIN((((CHANNELS!$C$4/C$5)+CHANNELS!$C$5+CHANNELS!$C$6+CHANNELS!$C$7)*ASSUMPTIONS!$C$4*ASSUMPTIONS!$C$5*ASSUMPTIONS!$C$6),CAPACITY_24M!B6)*$A10*CASE_TYPES!$B$11)+(MIN((((CHANNELS!$C$4/C$5)+CHANNELS!$C$5+CHANNELS!$C$6+CHANNELS!$C$7)*ASSUMPTIONS!$C$4*ASSUMPTIONS!$C$5*ASSUMPTIONS!$C$6),CAPACITY_24M!B6)*(1-$A10)*ASSUMPTIONS!$C$8*CASE_TYPES!$B$12))/(MIN((((CHANNELS!$C$4/C$5)+CHANNELS!$C$5+CHANNELS!$C$6+CHANNELS!$C$7)*ASSUMPTIONS!$C$4*ASSUMPTIONS!$C$5*ASSUMPTIONS!$C$6),CAPACITY_24M!B6)*($A10+(1-$A10)*ASSUMPTIONS!$C$8)),0))-(((MIN((((CHANNELS!$C$4/C$5)+CHANNELS!$C$5+CHANNELS!$C$6+CHANNELS!$C$7)*ASSUMPTIONS!$C$4*ASSUMPTIONS!$C$5*ASSUMPTIONS!$C$6),CAPACITY_24M!B6)*($A10+(1-$A10)*ASSUMPTIONS!$C$8))*ASSUMPTIONS!$C$16)+(MIN(((MIN((((CHANNELS!$C$4/C$5)+CHANNELS!$C$5+CHANNELS!$C$6+CHANNELS!$C$7)*ASSUMPTIONS!$C$4*ASSUMPTIONS!$C$5*ASSUMPTIONS!$C$6),CAPACITY_24M!B6)*($A10+(1-$A10)*ASSUMPTIONS!$C$8))*(1-ASSUMPTIONS!$C$9)),CAPACITY_24M!B12)*(CASE_TYPES!$B$14*ASSUMPTIONS!$C$30+CASE_TYPES!$B$15+CASE_TYPES!$B$16))+((MIN(((MIN((((CHANNELS!$C$4/C$5)+CHANNELS!$C$5+CHANNELS!$C$6+CHANNELS!$C$7)*ASSUMPTIONS!$C$4*ASSUMPTIONS!$C$5*ASSUMPTIONS!$C$6),CAPACITY_24M!B6)*($A10+(1-$A10)*ASSUMPTIONS!$C$8))*(1-ASSUMPTIONS!$C$9)),CAPACITY_24M!B12)*IFERROR(((MIN((((CHANNELS!$C$4/C$5)+CHANNELS!$C$5+CHANNELS!$C$6+CHANNELS!$C$7)*ASSUMPTIONS!$C$4*ASSUMPTIONS!$C$5*ASSUMPTIONS!$C$6),CAPACITY_24M!B6)*$A10*CASE_TYPES!$B$11)+(MIN((((CHANNELS!$C$4/C$5)+CHANNELS!$C$5+CHANNELS!$C$6+CHANNELS!$C$7)*ASSUMPTIONS!$C$4*ASSUMPTIONS!$C$5*ASSUMPTIONS!$C$6),CAPACITY_24M!B6)*(1-$A10)*ASSUMPTIONS!$C$8*CASE_TYPES!$B$12))/(MIN((((CHANNELS!$C$4/C$5)+CHANNELS!$C$5+CHANNELS!$C$6+CHANNELS!$C$7)*ASSUMPTIONS!$C$4*ASSUMPTIONS!$C$5*ASSUMPTIONS!$C$6),CAPACITY_24M!B6)*($A10+(1-$A10)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145.378001683417</v>
      </c>
      <c r="D10" s="12" t="n">
        <f aca="false">(MIN(((MIN((((CHANNELS!$C$4/D$5)+CHANNELS!$C$5+CHANNELS!$C$6+CHANNELS!$C$7)*ASSUMPTIONS!$C$4*ASSUMPTIONS!$C$5*ASSUMPTIONS!$C$6),CAPACITY_24M!B6)*($A10+(1-$A10)*ASSUMPTIONS!$C$8))*(1-ASSUMPTIONS!$C$9)),CAPACITY_24M!B12)*IFERROR(((MIN((((CHANNELS!$C$4/D$5)+CHANNELS!$C$5+CHANNELS!$C$6+CHANNELS!$C$7)*ASSUMPTIONS!$C$4*ASSUMPTIONS!$C$5*ASSUMPTIONS!$C$6),CAPACITY_24M!B6)*$A10*CASE_TYPES!$B$11)+(MIN((((CHANNELS!$C$4/D$5)+CHANNELS!$C$5+CHANNELS!$C$6+CHANNELS!$C$7)*ASSUMPTIONS!$C$4*ASSUMPTIONS!$C$5*ASSUMPTIONS!$C$6),CAPACITY_24M!B6)*(1-$A10)*ASSUMPTIONS!$C$8*CASE_TYPES!$B$12))/(MIN((((CHANNELS!$C$4/D$5)+CHANNELS!$C$5+CHANNELS!$C$6+CHANNELS!$C$7)*ASSUMPTIONS!$C$4*ASSUMPTIONS!$C$5*ASSUMPTIONS!$C$6),CAPACITY_24M!B6)*($A10+(1-$A10)*ASSUMPTIONS!$C$8)),0))-(((MIN((((CHANNELS!$C$4/D$5)+CHANNELS!$C$5+CHANNELS!$C$6+CHANNELS!$C$7)*ASSUMPTIONS!$C$4*ASSUMPTIONS!$C$5*ASSUMPTIONS!$C$6),CAPACITY_24M!B6)*($A10+(1-$A10)*ASSUMPTIONS!$C$8))*ASSUMPTIONS!$C$16)+(MIN(((MIN((((CHANNELS!$C$4/D$5)+CHANNELS!$C$5+CHANNELS!$C$6+CHANNELS!$C$7)*ASSUMPTIONS!$C$4*ASSUMPTIONS!$C$5*ASSUMPTIONS!$C$6),CAPACITY_24M!B6)*($A10+(1-$A10)*ASSUMPTIONS!$C$8))*(1-ASSUMPTIONS!$C$9)),CAPACITY_24M!B12)*(CASE_TYPES!$B$14*ASSUMPTIONS!$C$30+CASE_TYPES!$B$15+CASE_TYPES!$B$16))+((MIN(((MIN((((CHANNELS!$C$4/D$5)+CHANNELS!$C$5+CHANNELS!$C$6+CHANNELS!$C$7)*ASSUMPTIONS!$C$4*ASSUMPTIONS!$C$5*ASSUMPTIONS!$C$6),CAPACITY_24M!B6)*($A10+(1-$A10)*ASSUMPTIONS!$C$8))*(1-ASSUMPTIONS!$C$9)),CAPACITY_24M!B12)*IFERROR(((MIN((((CHANNELS!$C$4/D$5)+CHANNELS!$C$5+CHANNELS!$C$6+CHANNELS!$C$7)*ASSUMPTIONS!$C$4*ASSUMPTIONS!$C$5*ASSUMPTIONS!$C$6),CAPACITY_24M!B6)*$A10*CASE_TYPES!$B$11)+(MIN((((CHANNELS!$C$4/D$5)+CHANNELS!$C$5+CHANNELS!$C$6+CHANNELS!$C$7)*ASSUMPTIONS!$C$4*ASSUMPTIONS!$C$5*ASSUMPTIONS!$C$6),CAPACITY_24M!B6)*(1-$A10)*ASSUMPTIONS!$C$8*CASE_TYPES!$B$12))/(MIN((((CHANNELS!$C$4/D$5)+CHANNELS!$C$5+CHANNELS!$C$6+CHANNELS!$C$7)*ASSUMPTIONS!$C$4*ASSUMPTIONS!$C$5*ASSUMPTIONS!$C$6),CAPACITY_24M!B6)*($A10+(1-$A10)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145.378001683417</v>
      </c>
      <c r="E10" s="12" t="n">
        <f aca="false">(MIN(((MIN((((CHANNELS!$C$4/E$5)+CHANNELS!$C$5+CHANNELS!$C$6+CHANNELS!$C$7)*ASSUMPTIONS!$C$4*ASSUMPTIONS!$C$5*ASSUMPTIONS!$C$6),CAPACITY_24M!B6)*($A10+(1-$A10)*ASSUMPTIONS!$C$8))*(1-ASSUMPTIONS!$C$9)),CAPACITY_24M!B12)*IFERROR(((MIN((((CHANNELS!$C$4/E$5)+CHANNELS!$C$5+CHANNELS!$C$6+CHANNELS!$C$7)*ASSUMPTIONS!$C$4*ASSUMPTIONS!$C$5*ASSUMPTIONS!$C$6),CAPACITY_24M!B6)*$A10*CASE_TYPES!$B$11)+(MIN((((CHANNELS!$C$4/E$5)+CHANNELS!$C$5+CHANNELS!$C$6+CHANNELS!$C$7)*ASSUMPTIONS!$C$4*ASSUMPTIONS!$C$5*ASSUMPTIONS!$C$6),CAPACITY_24M!B6)*(1-$A10)*ASSUMPTIONS!$C$8*CASE_TYPES!$B$12))/(MIN((((CHANNELS!$C$4/E$5)+CHANNELS!$C$5+CHANNELS!$C$6+CHANNELS!$C$7)*ASSUMPTIONS!$C$4*ASSUMPTIONS!$C$5*ASSUMPTIONS!$C$6),CAPACITY_24M!B6)*($A10+(1-$A10)*ASSUMPTIONS!$C$8)),0))-(((MIN((((CHANNELS!$C$4/E$5)+CHANNELS!$C$5+CHANNELS!$C$6+CHANNELS!$C$7)*ASSUMPTIONS!$C$4*ASSUMPTIONS!$C$5*ASSUMPTIONS!$C$6),CAPACITY_24M!B6)*($A10+(1-$A10)*ASSUMPTIONS!$C$8))*ASSUMPTIONS!$C$16)+(MIN(((MIN((((CHANNELS!$C$4/E$5)+CHANNELS!$C$5+CHANNELS!$C$6+CHANNELS!$C$7)*ASSUMPTIONS!$C$4*ASSUMPTIONS!$C$5*ASSUMPTIONS!$C$6),CAPACITY_24M!B6)*($A10+(1-$A10)*ASSUMPTIONS!$C$8))*(1-ASSUMPTIONS!$C$9)),CAPACITY_24M!B12)*(CASE_TYPES!$B$14*ASSUMPTIONS!$C$30+CASE_TYPES!$B$15+CASE_TYPES!$B$16))+((MIN(((MIN((((CHANNELS!$C$4/E$5)+CHANNELS!$C$5+CHANNELS!$C$6+CHANNELS!$C$7)*ASSUMPTIONS!$C$4*ASSUMPTIONS!$C$5*ASSUMPTIONS!$C$6),CAPACITY_24M!B6)*($A10+(1-$A10)*ASSUMPTIONS!$C$8))*(1-ASSUMPTIONS!$C$9)),CAPACITY_24M!B12)*IFERROR(((MIN((((CHANNELS!$C$4/E$5)+CHANNELS!$C$5+CHANNELS!$C$6+CHANNELS!$C$7)*ASSUMPTIONS!$C$4*ASSUMPTIONS!$C$5*ASSUMPTIONS!$C$6),CAPACITY_24M!B6)*$A10*CASE_TYPES!$B$11)+(MIN((((CHANNELS!$C$4/E$5)+CHANNELS!$C$5+CHANNELS!$C$6+CHANNELS!$C$7)*ASSUMPTIONS!$C$4*ASSUMPTIONS!$C$5*ASSUMPTIONS!$C$6),CAPACITY_24M!B6)*(1-$A10)*ASSUMPTIONS!$C$8*CASE_TYPES!$B$12))/(MIN((((CHANNELS!$C$4/E$5)+CHANNELS!$C$5+CHANNELS!$C$6+CHANNELS!$C$7)*ASSUMPTIONS!$C$4*ASSUMPTIONS!$C$5*ASSUMPTIONS!$C$6),CAPACITY_24M!B6)*($A10+(1-$A10)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571.168628013933</v>
      </c>
      <c r="F10" s="12" t="n">
        <f aca="false">(MIN(((MIN((((CHANNELS!$C$4/F$5)+CHANNELS!$C$5+CHANNELS!$C$6+CHANNELS!$C$7)*ASSUMPTIONS!$C$4*ASSUMPTIONS!$C$5*ASSUMPTIONS!$C$6),CAPACITY_24M!B6)*($A10+(1-$A10)*ASSUMPTIONS!$C$8))*(1-ASSUMPTIONS!$C$9)),CAPACITY_24M!B12)*IFERROR(((MIN((((CHANNELS!$C$4/F$5)+CHANNELS!$C$5+CHANNELS!$C$6+CHANNELS!$C$7)*ASSUMPTIONS!$C$4*ASSUMPTIONS!$C$5*ASSUMPTIONS!$C$6),CAPACITY_24M!B6)*$A10*CASE_TYPES!$B$11)+(MIN((((CHANNELS!$C$4/F$5)+CHANNELS!$C$5+CHANNELS!$C$6+CHANNELS!$C$7)*ASSUMPTIONS!$C$4*ASSUMPTIONS!$C$5*ASSUMPTIONS!$C$6),CAPACITY_24M!B6)*(1-$A10)*ASSUMPTIONS!$C$8*CASE_TYPES!$B$12))/(MIN((((CHANNELS!$C$4/F$5)+CHANNELS!$C$5+CHANNELS!$C$6+CHANNELS!$C$7)*ASSUMPTIONS!$C$4*ASSUMPTIONS!$C$5*ASSUMPTIONS!$C$6),CAPACITY_24M!B6)*($A10+(1-$A10)*ASSUMPTIONS!$C$8)),0))-(((MIN((((CHANNELS!$C$4/F$5)+CHANNELS!$C$5+CHANNELS!$C$6+CHANNELS!$C$7)*ASSUMPTIONS!$C$4*ASSUMPTIONS!$C$5*ASSUMPTIONS!$C$6),CAPACITY_24M!B6)*($A10+(1-$A10)*ASSUMPTIONS!$C$8))*ASSUMPTIONS!$C$16)+(MIN(((MIN((((CHANNELS!$C$4/F$5)+CHANNELS!$C$5+CHANNELS!$C$6+CHANNELS!$C$7)*ASSUMPTIONS!$C$4*ASSUMPTIONS!$C$5*ASSUMPTIONS!$C$6),CAPACITY_24M!B6)*($A10+(1-$A10)*ASSUMPTIONS!$C$8))*(1-ASSUMPTIONS!$C$9)),CAPACITY_24M!B12)*(CASE_TYPES!$B$14*ASSUMPTIONS!$C$30+CASE_TYPES!$B$15+CASE_TYPES!$B$16))+((MIN(((MIN((((CHANNELS!$C$4/F$5)+CHANNELS!$C$5+CHANNELS!$C$6+CHANNELS!$C$7)*ASSUMPTIONS!$C$4*ASSUMPTIONS!$C$5*ASSUMPTIONS!$C$6),CAPACITY_24M!B6)*($A10+(1-$A10)*ASSUMPTIONS!$C$8))*(1-ASSUMPTIONS!$C$9)),CAPACITY_24M!B12)*IFERROR(((MIN((((CHANNELS!$C$4/F$5)+CHANNELS!$C$5+CHANNELS!$C$6+CHANNELS!$C$7)*ASSUMPTIONS!$C$4*ASSUMPTIONS!$C$5*ASSUMPTIONS!$C$6),CAPACITY_24M!B6)*$A10*CASE_TYPES!$B$11)+(MIN((((CHANNELS!$C$4/F$5)+CHANNELS!$C$5+CHANNELS!$C$6+CHANNELS!$C$7)*ASSUMPTIONS!$C$4*ASSUMPTIONS!$C$5*ASSUMPTIONS!$C$6),CAPACITY_24M!B6)*(1-$A10)*ASSUMPTIONS!$C$8*CASE_TYPES!$B$12))/(MIN((((CHANNELS!$C$4/F$5)+CHANNELS!$C$5+CHANNELS!$C$6+CHANNELS!$C$7)*ASSUMPTIONS!$C$4*ASSUMPTIONS!$C$5*ASSUMPTIONS!$C$6),CAPACITY_24M!B6)*($A10+(1-$A10)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1027.65192801393</v>
      </c>
      <c r="G10" s="12" t="n">
        <f aca="false">(MIN(((MIN((((CHANNELS!$C$4/G$5)+CHANNELS!$C$5+CHANNELS!$C$6+CHANNELS!$C$7)*ASSUMPTIONS!$C$4*ASSUMPTIONS!$C$5*ASSUMPTIONS!$C$6),CAPACITY_24M!B6)*($A10+(1-$A10)*ASSUMPTIONS!$C$8))*(1-ASSUMPTIONS!$C$9)),CAPACITY_24M!B12)*IFERROR(((MIN((((CHANNELS!$C$4/G$5)+CHANNELS!$C$5+CHANNELS!$C$6+CHANNELS!$C$7)*ASSUMPTIONS!$C$4*ASSUMPTIONS!$C$5*ASSUMPTIONS!$C$6),CAPACITY_24M!B6)*$A10*CASE_TYPES!$B$11)+(MIN((((CHANNELS!$C$4/G$5)+CHANNELS!$C$5+CHANNELS!$C$6+CHANNELS!$C$7)*ASSUMPTIONS!$C$4*ASSUMPTIONS!$C$5*ASSUMPTIONS!$C$6),CAPACITY_24M!B6)*(1-$A10)*ASSUMPTIONS!$C$8*CASE_TYPES!$B$12))/(MIN((((CHANNELS!$C$4/G$5)+CHANNELS!$C$5+CHANNELS!$C$6+CHANNELS!$C$7)*ASSUMPTIONS!$C$4*ASSUMPTIONS!$C$5*ASSUMPTIONS!$C$6),CAPACITY_24M!B6)*($A10+(1-$A10)*ASSUMPTIONS!$C$8)),0))-(((MIN((((CHANNELS!$C$4/G$5)+CHANNELS!$C$5+CHANNELS!$C$6+CHANNELS!$C$7)*ASSUMPTIONS!$C$4*ASSUMPTIONS!$C$5*ASSUMPTIONS!$C$6),CAPACITY_24M!B6)*($A10+(1-$A10)*ASSUMPTIONS!$C$8))*ASSUMPTIONS!$C$16)+(MIN(((MIN((((CHANNELS!$C$4/G$5)+CHANNELS!$C$5+CHANNELS!$C$6+CHANNELS!$C$7)*ASSUMPTIONS!$C$4*ASSUMPTIONS!$C$5*ASSUMPTIONS!$C$6),CAPACITY_24M!B6)*($A10+(1-$A10)*ASSUMPTIONS!$C$8))*(1-ASSUMPTIONS!$C$9)),CAPACITY_24M!B12)*(CASE_TYPES!$B$14*ASSUMPTIONS!$C$30+CASE_TYPES!$B$15+CASE_TYPES!$B$16))+((MIN(((MIN((((CHANNELS!$C$4/G$5)+CHANNELS!$C$5+CHANNELS!$C$6+CHANNELS!$C$7)*ASSUMPTIONS!$C$4*ASSUMPTIONS!$C$5*ASSUMPTIONS!$C$6),CAPACITY_24M!B6)*($A10+(1-$A10)*ASSUMPTIONS!$C$8))*(1-ASSUMPTIONS!$C$9)),CAPACITY_24M!B12)*IFERROR(((MIN((((CHANNELS!$C$4/G$5)+CHANNELS!$C$5+CHANNELS!$C$6+CHANNELS!$C$7)*ASSUMPTIONS!$C$4*ASSUMPTIONS!$C$5*ASSUMPTIONS!$C$6),CAPACITY_24M!B6)*$A10*CASE_TYPES!$B$11)+(MIN((((CHANNELS!$C$4/G$5)+CHANNELS!$C$5+CHANNELS!$C$6+CHANNELS!$C$7)*ASSUMPTIONS!$C$4*ASSUMPTIONS!$C$5*ASSUMPTIONS!$C$6),CAPACITY_24M!B6)*(1-$A10)*ASSUMPTIONS!$C$8*CASE_TYPES!$B$12))/(MIN((((CHANNELS!$C$4/G$5)+CHANNELS!$C$5+CHANNELS!$C$6+CHANNELS!$C$7)*ASSUMPTIONS!$C$4*ASSUMPTIONS!$C$5*ASSUMPTIONS!$C$6),CAPACITY_24M!B6)*($A10+(1-$A10)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1392.83856801393</v>
      </c>
      <c r="H10" s="12" t="n">
        <f aca="false">(MIN(((MIN((((CHANNELS!$C$4/H$5)+CHANNELS!$C$5+CHANNELS!$C$6+CHANNELS!$C$7)*ASSUMPTIONS!$C$4*ASSUMPTIONS!$C$5*ASSUMPTIONS!$C$6),CAPACITY_24M!B6)*($A10+(1-$A10)*ASSUMPTIONS!$C$8))*(1-ASSUMPTIONS!$C$9)),CAPACITY_24M!B12)*IFERROR(((MIN((((CHANNELS!$C$4/H$5)+CHANNELS!$C$5+CHANNELS!$C$6+CHANNELS!$C$7)*ASSUMPTIONS!$C$4*ASSUMPTIONS!$C$5*ASSUMPTIONS!$C$6),CAPACITY_24M!B6)*$A10*CASE_TYPES!$B$11)+(MIN((((CHANNELS!$C$4/H$5)+CHANNELS!$C$5+CHANNELS!$C$6+CHANNELS!$C$7)*ASSUMPTIONS!$C$4*ASSUMPTIONS!$C$5*ASSUMPTIONS!$C$6),CAPACITY_24M!B6)*(1-$A10)*ASSUMPTIONS!$C$8*CASE_TYPES!$B$12))/(MIN((((CHANNELS!$C$4/H$5)+CHANNELS!$C$5+CHANNELS!$C$6+CHANNELS!$C$7)*ASSUMPTIONS!$C$4*ASSUMPTIONS!$C$5*ASSUMPTIONS!$C$6),CAPACITY_24M!B6)*($A10+(1-$A10)*ASSUMPTIONS!$C$8)),0))-(((MIN((((CHANNELS!$C$4/H$5)+CHANNELS!$C$5+CHANNELS!$C$6+CHANNELS!$C$7)*ASSUMPTIONS!$C$4*ASSUMPTIONS!$C$5*ASSUMPTIONS!$C$6),CAPACITY_24M!B6)*($A10+(1-$A10)*ASSUMPTIONS!$C$8))*ASSUMPTIONS!$C$16)+(MIN(((MIN((((CHANNELS!$C$4/H$5)+CHANNELS!$C$5+CHANNELS!$C$6+CHANNELS!$C$7)*ASSUMPTIONS!$C$4*ASSUMPTIONS!$C$5*ASSUMPTIONS!$C$6),CAPACITY_24M!B6)*($A10+(1-$A10)*ASSUMPTIONS!$C$8))*(1-ASSUMPTIONS!$C$9)),CAPACITY_24M!B12)*(CASE_TYPES!$B$14*ASSUMPTIONS!$C$30+CASE_TYPES!$B$15+CASE_TYPES!$B$16))+((MIN(((MIN((((CHANNELS!$C$4/H$5)+CHANNELS!$C$5+CHANNELS!$C$6+CHANNELS!$C$7)*ASSUMPTIONS!$C$4*ASSUMPTIONS!$C$5*ASSUMPTIONS!$C$6),CAPACITY_24M!B6)*($A10+(1-$A10)*ASSUMPTIONS!$C$8))*(1-ASSUMPTIONS!$C$9)),CAPACITY_24M!B12)*IFERROR(((MIN((((CHANNELS!$C$4/H$5)+CHANNELS!$C$5+CHANNELS!$C$6+CHANNELS!$C$7)*ASSUMPTIONS!$C$4*ASSUMPTIONS!$C$5*ASSUMPTIONS!$C$6),CAPACITY_24M!B6)*$A10*CASE_TYPES!$B$11)+(MIN((((CHANNELS!$C$4/H$5)+CHANNELS!$C$5+CHANNELS!$C$6+CHANNELS!$C$7)*ASSUMPTIONS!$C$4*ASSUMPTIONS!$C$5*ASSUMPTIONS!$C$6),CAPACITY_24M!B6)*(1-$A10)*ASSUMPTIONS!$C$8*CASE_TYPES!$B$12))/(MIN((((CHANNELS!$C$4/H$5)+CHANNELS!$C$5+CHANNELS!$C$6+CHANNELS!$C$7)*ASSUMPTIONS!$C$4*ASSUMPTIONS!$C$5*ASSUMPTIONS!$C$6),CAPACITY_24M!B6)*($A10+(1-$A10)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1940.61852801393</v>
      </c>
      <c r="I10" s="12" t="n">
        <f aca="false">(MIN(((MIN((((CHANNELS!$C$4/I$5)+CHANNELS!$C$5+CHANNELS!$C$6+CHANNELS!$C$7)*ASSUMPTIONS!$C$4*ASSUMPTIONS!$C$5*ASSUMPTIONS!$C$6),CAPACITY_24M!B6)*($A10+(1-$A10)*ASSUMPTIONS!$C$8))*(1-ASSUMPTIONS!$C$9)),CAPACITY_24M!B12)*IFERROR(((MIN((((CHANNELS!$C$4/I$5)+CHANNELS!$C$5+CHANNELS!$C$6+CHANNELS!$C$7)*ASSUMPTIONS!$C$4*ASSUMPTIONS!$C$5*ASSUMPTIONS!$C$6),CAPACITY_24M!B6)*$A10*CASE_TYPES!$B$11)+(MIN((((CHANNELS!$C$4/I$5)+CHANNELS!$C$5+CHANNELS!$C$6+CHANNELS!$C$7)*ASSUMPTIONS!$C$4*ASSUMPTIONS!$C$5*ASSUMPTIONS!$C$6),CAPACITY_24M!B6)*(1-$A10)*ASSUMPTIONS!$C$8*CASE_TYPES!$B$12))/(MIN((((CHANNELS!$C$4/I$5)+CHANNELS!$C$5+CHANNELS!$C$6+CHANNELS!$C$7)*ASSUMPTIONS!$C$4*ASSUMPTIONS!$C$5*ASSUMPTIONS!$C$6),CAPACITY_24M!B6)*($A10+(1-$A10)*ASSUMPTIONS!$C$8)),0))-(((MIN((((CHANNELS!$C$4/I$5)+CHANNELS!$C$5+CHANNELS!$C$6+CHANNELS!$C$7)*ASSUMPTIONS!$C$4*ASSUMPTIONS!$C$5*ASSUMPTIONS!$C$6),CAPACITY_24M!B6)*($A10+(1-$A10)*ASSUMPTIONS!$C$8))*ASSUMPTIONS!$C$16)+(MIN(((MIN((((CHANNELS!$C$4/I$5)+CHANNELS!$C$5+CHANNELS!$C$6+CHANNELS!$C$7)*ASSUMPTIONS!$C$4*ASSUMPTIONS!$C$5*ASSUMPTIONS!$C$6),CAPACITY_24M!B6)*($A10+(1-$A10)*ASSUMPTIONS!$C$8))*(1-ASSUMPTIONS!$C$9)),CAPACITY_24M!B12)*(CASE_TYPES!$B$14*ASSUMPTIONS!$C$30+CASE_TYPES!$B$15+CASE_TYPES!$B$16))+((MIN(((MIN((((CHANNELS!$C$4/I$5)+CHANNELS!$C$5+CHANNELS!$C$6+CHANNELS!$C$7)*ASSUMPTIONS!$C$4*ASSUMPTIONS!$C$5*ASSUMPTIONS!$C$6),CAPACITY_24M!B6)*($A10+(1-$A10)*ASSUMPTIONS!$C$8))*(1-ASSUMPTIONS!$C$9)),CAPACITY_24M!B12)*IFERROR(((MIN((((CHANNELS!$C$4/I$5)+CHANNELS!$C$5+CHANNELS!$C$6+CHANNELS!$C$7)*ASSUMPTIONS!$C$4*ASSUMPTIONS!$C$5*ASSUMPTIONS!$C$6),CAPACITY_24M!B6)*$A10*CASE_TYPES!$B$11)+(MIN((((CHANNELS!$C$4/I$5)+CHANNELS!$C$5+CHANNELS!$C$6+CHANNELS!$C$7)*ASSUMPTIONS!$C$4*ASSUMPTIONS!$C$5*ASSUMPTIONS!$C$6),CAPACITY_24M!B6)*(1-$A10)*ASSUMPTIONS!$C$8*CASE_TYPES!$B$12))/(MIN((((CHANNELS!$C$4/I$5)+CHANNELS!$C$5+CHANNELS!$C$6+CHANNELS!$C$7)*ASSUMPTIONS!$C$4*ASSUMPTIONS!$C$5*ASSUMPTIONS!$C$6),CAPACITY_24M!B6)*($A10+(1-$A10)*ASSUMPTIONS!$C$8)),0))*ASSUMPTIONS!$C$13))-(CHANNELS!$C$4+CHANNELS!$C$5*CHANNELS!$E$5+CHANNELS!$C$6*CHANNELS!$E$6+CHANNELS!$C$7*CHANNELS!$E$7)-(ASSUMPTIONS!$C$32+ASSUMPTIONS!$C$33+ASSUMPTIONS!$C$34+ASSUMPTIONS!$C$35+ASSUMPTIONS!$C$36+ASSUMPTIONS!$C$14*ASSUMPTIONS!$C$15+ASSUMPTIONS!$C$22*ASSUMPTIONS!$C$23+ASSUMPTIONS!$C$22*ASSUMPTIONS!$C$24+ASSUMPTIONS!$C$22*ASSUMPTIONS!$C$25+ASSUMPTIONS!$C$31)</f>
        <v>2331.88992801393</v>
      </c>
    </row>
    <row r="13" customFormat="false" ht="175.5" hidden="false" customHeight="true" outlineLevel="0" collapsed="false">
      <c r="A13" s="3" t="s">
        <v>273</v>
      </c>
      <c r="B13" s="6" t="s">
        <v>274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2026-03-04T07:25:36Z</dcterms:created>
  <dc:creator>openpyxl</dc:creator>
  <dc:description/>
  <dc:language>en-US</dc:language>
  <cp:lastModifiedBy/>
  <dcterms:modified xsi:type="dcterms:W3CDTF">2026-03-04T07:26:31Z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